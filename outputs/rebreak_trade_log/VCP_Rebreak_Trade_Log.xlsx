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2a8212ff0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c67124e2a54f6e"/>
    <x:sheet xmlns:r="http://schemas.openxmlformats.org/officeDocument/2006/relationships" name="Trade Log" sheetId="2" r:id="Re0367c16550b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0.0%"/>
    <x:numFmt numFmtId="202" formatCode="$#,##0;[Red]($#,##0);-"/>
    <x:numFmt numFmtId="203" formatCode="0.00%"/>
    <x:numFmt numFmtId="204" formatCode="0.00x"/>
    <x:numFmt numFmtId="205" formatCode="yyyy-mm-dd"/>
    <x:numFmt numFmtId="206" formatCode="$0.00"/>
    <x:numFmt numFmtId="207" formatCode="0.0"/>
    <x:numFmt numFmtId="208" formatCode="$#,##0.00;[Red]($#,##0.00);-"/>
    <x:numFmt numFmtId="209" formatCode="0.00%;[Red](0.00%);-"/>
    <x:numFmt numFmtId="210" formatCode="$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i/>
      <x:sz val="11"/>
      <x:color rgb="FF404040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2">
    <x:border/>
    <x:border>
      <x:bottom style="double">
        <x:color rgb="FF7F8C8D"/>
      </x:bottom>
    </x:border>
    <x:border>
      <x:bottom style="double">
        <x:color rgb="FFFFFFFF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double">
        <x:color rgb="FFFFFFFF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double">
        <x:color rgb="FFFFFFFF"/>
      </x:bottom>
    </x:border>
    <x:border>
      <x:left style="thin">
        <x:color rgb="FFE6E6E6"/>
      </x:left>
      <x:top style="thin">
        <x:color rgb="FFE6E6E6"/>
      </x:top>
      <x:bottom style="double">
        <x:color rgb="FFFFFFF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2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/>
    </x:xf>
    <x:xf numFmtId="0" fontId="6" fillId="2" borderId="4" xfId="0" applyNumberFormat="1" applyFont="1" applyFill="1" applyBorder="1" applyAlignment="1">
      <x:alignment horizontal="center"/>
    </x:xf>
    <x:xf numFmtId="0" fontId="6" fillId="2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5" fontId="0" fillId="0" borderId="7" xfId="0" applyNumberFormat="1" applyFont="1" applyFill="1" applyBorder="1"/>
    <x:xf numFmtId="205" fontId="0" fillId="0" borderId="10" xfId="0" applyNumberFormat="1" applyFont="1" applyFill="1" applyBorder="1"/>
    <x:xf numFmtId="206" fontId="0" fillId="0" borderId="7" xfId="0" applyNumberFormat="1" applyFont="1" applyFill="1" applyBorder="1"/>
    <x:xf numFmtId="206" fontId="0" fillId="0" borderId="10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7" fontId="0" fillId="0" borderId="7" xfId="0" applyNumberFormat="1" applyFont="1" applyFill="1" applyBorder="1"/>
    <x:xf numFmtId="207" fontId="0" fillId="0" borderId="10" xfId="0" applyNumberFormat="1" applyFont="1" applyFill="1" applyBorder="1"/>
    <x:xf numFmtId="208" fontId="0" fillId="0" borderId="7" xfId="0" applyNumberFormat="1" applyFont="1" applyFill="1" applyBorder="1"/>
    <x:xf numFmtId="208" fontId="0" fillId="0" borderId="10" xfId="0" applyNumberFormat="1" applyFont="1" applyFill="1" applyBorder="1"/>
    <x:xf numFmtId="209" fontId="0" fillId="0" borderId="7" xfId="0" applyNumberFormat="1" applyFont="1" applyFill="1" applyBorder="1"/>
    <x:xf numFmtId="209" fontId="0" fillId="0" borderId="10" xfId="0" applyNumberFormat="1" applyFont="1" applyFill="1" applyBorder="1"/>
    <x:xf numFmtId="210" fontId="0" fillId="0" borderId="8" xfId="0" applyNumberFormat="1" applyFont="1" applyFill="1" applyBorder="1"/>
    <x:xf numFmtId="21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2971c563e436c" /><Relationship Type="http://schemas.openxmlformats.org/officeDocument/2006/relationships/theme" Target="/xl/theme/theme1.xml" Id="Rdaf05b3354e64b00" /><Relationship Type="http://schemas.openxmlformats.org/officeDocument/2006/relationships/sharedStrings" Target="/xl/sharedStrings.xml" Id="Rb45e19aee03f49a4" /><Relationship Type="http://schemas.openxmlformats.org/officeDocument/2006/relationships/worksheet" Target="/xl/worksheets/sheet1.xml" Id="R82c67124e2a54f6e" /><Relationship Type="http://schemas.openxmlformats.org/officeDocument/2006/relationships/worksheet" Target="/xl/worksheets/sheet2.xml" Id="Re0367c16550b42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0" customHeight="1">
      <x:c r="A1" s="3" t="str">
        <x:v>VCP Pullback-Then-Rebreak Trade Log</x:v>
      </x:c>
      <x:c r="B1" s="3"/>
      <x:c r="C1" s="3"/>
      <x:c r="D1" s="3"/>
      <x:c r="E1" s="3"/>
      <x:c r="F1" s="3"/>
    </x:row>
    <x:row r="3">
      <x:c r="A3" s="6" t="str">
        <x:v>Metric</x:v>
      </x:c>
      <x:c r="B3" s="6" t="str">
        <x:v>Value</x:v>
      </x:c>
    </x:row>
    <x:row r="4">
      <x:c r="A4" s="7" t="str">
        <x:v>Trades</x:v>
      </x:c>
      <x:c r="B4" s="8" t="n">
        <x:f>COUNTA('Trade Log'!$A$2:$A$146)</x:f>
        <x:v>145</x:v>
      </x:c>
    </x:row>
    <x:row r="5">
      <x:c r="A5" s="7" t="str">
        <x:v>Winning trades</x:v>
      </x:c>
      <x:c r="B5" s="8" t="n">
        <x:f>COUNTIF('Trade Log'!$N$2:$N$146,"&gt;0")</x:f>
        <x:v>51</x:v>
      </x:c>
    </x:row>
    <x:row r="6">
      <x:c r="A6" s="7" t="str">
        <x:v>Losing trades</x:v>
      </x:c>
      <x:c r="B6" s="8" t="n">
        <x:f>COUNTIF('Trade Log'!$N$2:$N$146,"&lt;=0")</x:f>
        <x:v>94</x:v>
      </x:c>
    </x:row>
    <x:row r="7">
      <x:c r="A7" s="7" t="str">
        <x:v>Win rate</x:v>
      </x:c>
      <x:c r="B7" s="9" t="n">
        <x:f>B5/B4</x:f>
        <x:v>0.35172413793103446</x:v>
      </x:c>
    </x:row>
    <x:row r="8">
      <x:c r="A8" s="7" t="str">
        <x:v>Net P&amp;L ($)</x:v>
      </x:c>
      <x:c r="B8" s="10" t="n">
        <x:f>SUM('Trade Log'!$M$2:$M$146)</x:f>
        <x:v>-2423.6083000000053</x:v>
      </x:c>
    </x:row>
    <x:row r="9">
      <x:c r="A9" s="7" t="str">
        <x:v>Average return</x:v>
      </x:c>
      <x:c r="B9" s="11" t="n">
        <x:f>AVERAGE('Trade Log'!$N$2:$N$146)</x:f>
        <x:v>-0.0010748233489082791</x:v>
      </x:c>
    </x:row>
    <x:row r="10">
      <x:c r="A10" s="7" t="str">
        <x:v>Profit factor</x:v>
      </x:c>
      <x:c r="B10" s="12" t="n">
        <x:f>SUMIF('Trade Log'!$M$2:$M$146,"&gt;0",'Trade Log'!$M$2:$M$146)/-SUMIF('Trade Log'!$M$2:$M$146,"&lt;0",'Trade Log'!$M$2:$M$146)</x:f>
        <x:v>0.9454477013331202</x:v>
      </x:c>
    </x:row>
    <x:row r="12">
      <x:c r="A12" s="16" t="str">
        <x:v>Rule: Initial VCP breakout, MA20 touch-and-hold within 15 sessions, then a close above the highest high from the initial breakout through the pullback bar. Entry is the next session open. Initial stop is the higher of the pattern stop and 8% below fill; otherwise exit after 60 sessions.</x:v>
      </x:c>
      <x:c r="B12" s="16"/>
      <x:c r="C12" s="16"/>
      <x:c r="D12" s="16"/>
      <x:c r="E12" s="16"/>
      <x:c r="F12" s="16"/>
    </x:row>
    <x:row r="13">
      <x:c r="A13" s="16"/>
      <x:c r="B13" s="16"/>
      <x:c r="C13" s="16"/>
      <x:c r="D13" s="16"/>
      <x:c r="E13" s="16"/>
      <x:c r="F13" s="16"/>
    </x:row>
    <x:row r="14">
      <x:c r="A14" s="16"/>
      <x:c r="B14" s="16"/>
      <x:c r="C14" s="16"/>
      <x:c r="D14" s="16"/>
      <x:c r="E14" s="16"/>
      <x:c r="F14" s="16"/>
    </x:row>
    <x:row r="15">
      <x:c r="A15" s="16"/>
      <x:c r="B15" s="16"/>
      <x:c r="C15" s="16"/>
      <x:c r="D15" s="16"/>
      <x:c r="E15" s="16"/>
      <x:c r="F15" s="16"/>
    </x:row>
    <x:row r="17">
      <x:c r="A17" s="18" t="str">
        <x:v>Source: rebreak_vcp_2026-07-11_000452.json. Prices include configured entry/exit commission and slippage. Historical result is not evidence of a reliable edge.</x:v>
      </x:c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</x:sheetData>
  <x:mergeCells>
    <x:mergeCell ref="A1:F1"/>
    <x:mergeCell ref="A12:F15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9" hidden="0" customWidth="1"/>
    <x:col min="8" max="8" width="11" hidden="0" customWidth="1"/>
    <x:col min="9" max="9" width="11" hidden="0" customWidth="1"/>
    <x:col min="10" max="10" width="13" hidden="0" customWidth="1"/>
    <x:col min="11" max="11" width="12" hidden="0" customWidth="1"/>
    <x:col min="12" max="12" width="13" hidden="0" customWidth="1"/>
    <x:col min="13" max="13" width="14" hidden="0" customWidth="1"/>
    <x:col min="14" max="14" width="14" hidden="0" customWidth="1"/>
    <x:col min="15" max="15" width="17" hidden="0" customWidth="1"/>
  </x:cols>
  <x:sheetData>
    <x:row r="1" ht="26" customHeight="1">
      <x:c r="A1" s="22" t="str">
        <x:v>#</x:v>
      </x:c>
      <x:c r="B1" s="23" t="str">
        <x:v>Symbol</x:v>
      </x:c>
      <x:c r="C1" s="23" t="str">
        <x:v>Sector</x:v>
      </x:c>
      <x:c r="D1" s="23" t="str">
        <x:v>Signal Date</x:v>
      </x:c>
      <x:c r="E1" s="23" t="str">
        <x:v>Entry Date</x:v>
      </x:c>
      <x:c r="F1" s="23" t="str">
        <x:v>Entry Price</x:v>
      </x:c>
      <x:c r="G1" s="23" t="str">
        <x:v>Shares</x:v>
      </x:c>
      <x:c r="H1" s="23" t="str">
        <x:v>Stop</x:v>
      </x:c>
      <x:c r="I1" s="23" t="str">
        <x:v>Edge Rank</x:v>
      </x:c>
      <x:c r="J1" s="23" t="str">
        <x:v>Exit Date</x:v>
      </x:c>
      <x:c r="K1" s="23" t="str">
        <x:v>Exit Price</x:v>
      </x:c>
      <x:c r="L1" s="23" t="str">
        <x:v>Exit Reason</x:v>
      </x:c>
      <x:c r="M1" s="23" t="str">
        <x:v>Net P&amp;L ($)</x:v>
      </x:c>
      <x:c r="N1" s="23" t="str">
        <x:v>Net Return</x:v>
      </x:c>
      <x:c r="O1" s="24" t="str">
        <x:v>Entry ADV ($)</x:v>
      </x:c>
    </x:row>
    <x:row r="2">
      <x:c r="A2" s="45" t="n">
        <x:v>1</x:v>
      </x:c>
      <x:c r="B2" s="26" t="str">
        <x:v>CVS</x:v>
      </x:c>
      <x:c r="C2" s="26" t="str">
        <x:v>Unknown</x:v>
      </x:c>
      <x:c r="D2" s="31" t="n">
        <x:v>42432</x:v>
      </x:c>
      <x:c r="E2" s="31" t="n">
        <x:v>42433</x:v>
      </x:c>
      <x:c r="F2" s="33" t="n">
        <x:v>73.5134</x:v>
      </x:c>
      <x:c r="G2" s="35" t="n">
        <x:v>70</x:v>
      </x:c>
      <x:c r="H2" s="33" t="n">
        <x:v>67.97</x:v>
      </x:c>
      <x:c r="I2" s="37" t="n">
        <x:v>42.5</x:v>
      </x:c>
      <x:c r="J2" s="31" t="n">
        <x:v>42521</x:v>
      </x:c>
      <x:c r="K2" s="33" t="n">
        <x:v>71.918</x:v>
      </x:c>
      <x:c r="L2" s="47" t="str">
        <x:v>timeout</x:v>
      </x:c>
      <x:c r="M2" s="39" t="n">
        <x:f>(K2-F2)*G2</x:f>
        <x:v>-111.67799999999986</x:v>
      </x:c>
      <x:c r="N2" s="41" t="n">
        <x:f>K2/F2-1</x:f>
        <x:v>-0.02170216586363849</x:v>
      </x:c>
      <x:c r="O2" s="43" t="n">
        <x:v>403664080.7</x:v>
      </x:c>
    </x:row>
    <x:row r="3">
      <x:c r="A3" s="45" t="n">
        <x:v>2</x:v>
      </x:c>
      <x:c r="B3" s="26" t="str">
        <x:v>PCAR</x:v>
      </x:c>
      <x:c r="C3" s="26" t="str">
        <x:v>Unknown</x:v>
      </x:c>
      <x:c r="D3" s="31" t="n">
        <x:v>42446</x:v>
      </x:c>
      <x:c r="E3" s="31" t="n">
        <x:v>42447</x:v>
      </x:c>
      <x:c r="F3" s="33" t="n">
        <x:v>25.5555</x:v>
      </x:c>
      <x:c r="G3" s="35" t="n">
        <x:v>166</x:v>
      </x:c>
      <x:c r="H3" s="33" t="n">
        <x:v>23.5111</x:v>
      </x:c>
      <x:c r="I3" s="37" t="n">
        <x:v>35</x:v>
      </x:c>
      <x:c r="J3" s="31" t="n">
        <x:v>42535</x:v>
      </x:c>
      <x:c r="K3" s="33" t="n">
        <x:v>25.2148</x:v>
      </x:c>
      <x:c r="L3" s="47" t="str">
        <x:v>timeout</x:v>
      </x:c>
      <x:c r="M3" s="39" t="n">
        <x:f>(K3-F3)*G3</x:f>
        <x:v>-56.556199999999706</x:v>
      </x:c>
      <x:c r="N3" s="41" t="n">
        <x:f>K3/F3-1</x:f>
        <x:v>-0.013331768112539333</x:v>
      </x:c>
      <x:c r="O3" s="43" t="n">
        <x:v>82586463</x:v>
      </x:c>
    </x:row>
    <x:row r="4">
      <x:c r="A4" s="45" t="n">
        <x:v>3</x:v>
      </x:c>
      <x:c r="B4" s="26" t="str">
        <x:v>IRM</x:v>
      </x:c>
      <x:c r="C4" s="26" t="str">
        <x:v>Unknown</x:v>
      </x:c>
      <x:c r="D4" s="31" t="n">
        <x:v>42478</x:v>
      </x:c>
      <x:c r="E4" s="31" t="n">
        <x:v>42479</x:v>
      </x:c>
      <x:c r="F4" s="33" t="n">
        <x:v>20.1802</x:v>
      </x:c>
      <x:c r="G4" s="35" t="n">
        <x:v>180</x:v>
      </x:c>
      <x:c r="H4" s="33" t="n">
        <x:v>18.5657</x:v>
      </x:c>
      <x:c r="I4" s="37" t="n">
        <x:v>30</x:v>
      </x:c>
      <x:c r="J4" s="31" t="n">
        <x:v>42565</x:v>
      </x:c>
      <x:c r="K4" s="33" t="n">
        <x:v>23.946</x:v>
      </x:c>
      <x:c r="L4" s="47" t="str">
        <x:v>timeout</x:v>
      </x:c>
      <x:c r="M4" s="39" t="n">
        <x:f>(K4-F4)*G4</x:f>
        <x:v>677.8440000000004</x:v>
      </x:c>
      <x:c r="N4" s="41" t="n">
        <x:f>K4/F4-1</x:f>
        <x:v>0.18660865600935583</x:v>
      </x:c>
      <x:c r="O4" s="43" t="n">
        <x:v>24723717.2</x:v>
      </x:c>
    </x:row>
    <x:row r="5">
      <x:c r="A5" s="45" t="n">
        <x:v>4</x:v>
      </x:c>
      <x:c r="B5" s="26" t="str">
        <x:v>TPL</x:v>
      </x:c>
      <x:c r="C5" s="26" t="str">
        <x:v>Unknown</x:v>
      </x:c>
      <x:c r="D5" s="31" t="n">
        <x:v>42485</x:v>
      </x:c>
      <x:c r="E5" s="31" t="n">
        <x:v>42486</x:v>
      </x:c>
      <x:c r="F5" s="33" t="n">
        <x:v>14.8849</x:v>
      </x:c>
      <x:c r="G5" s="35" t="n">
        <x:v>573</x:v>
      </x:c>
      <x:c r="H5" s="33" t="n">
        <x:v>13.6941</x:v>
      </x:c>
      <x:c r="I5" s="37" t="n">
        <x:v>70</x:v>
      </x:c>
      <x:c r="J5" s="31" t="n">
        <x:v>42572</x:v>
      </x:c>
      <x:c r="K5" s="33" t="n">
        <x:v>16.5235</x:v>
      </x:c>
      <x:c r="L5" s="47" t="str">
        <x:v>timeout</x:v>
      </x:c>
      <x:c r="M5" s="39" t="n">
        <x:f>(K5-F5)*G5</x:f>
        <x:v>938.9177999999991</x:v>
      </x:c>
      <x:c r="N5" s="41" t="n">
        <x:f>K5/F5-1</x:f>
        <x:v>0.11008471672634679</x:v>
      </x:c>
      <x:c r="O5" s="43" t="n">
        <x:v>862243.2</x:v>
      </x:c>
    </x:row>
    <x:row r="6">
      <x:c r="A6" s="45" t="n">
        <x:v>5</x:v>
      </x:c>
      <x:c r="B6" s="26" t="str">
        <x:v>LULU</x:v>
      </x:c>
      <x:c r="C6" s="26" t="str">
        <x:v>Unknown</x:v>
      </x:c>
      <x:c r="D6" s="31" t="n">
        <x:v>42527</x:v>
      </x:c>
      <x:c r="E6" s="31" t="n">
        <x:v>42528</x:v>
      </x:c>
      <x:c r="F6" s="33" t="n">
        <x:v>68.6185</x:v>
      </x:c>
      <x:c r="G6" s="35" t="n">
        <x:v>53</x:v>
      </x:c>
      <x:c r="H6" s="33" t="n">
        <x:v>63.1291</x:v>
      </x:c>
      <x:c r="I6" s="37" t="n">
        <x:v>30</x:v>
      </x:c>
      <x:c r="J6" s="31" t="n">
        <x:v>42613</x:v>
      </x:c>
      <x:c r="K6" s="33" t="n">
        <x:v>76.8631</x:v>
      </x:c>
      <x:c r="L6" s="47" t="str">
        <x:v>timeout</x:v>
      </x:c>
      <x:c r="M6" s="39" t="n">
        <x:f>(K6-F6)*G6</x:f>
        <x:v>436.9638000000003</x:v>
      </x:c>
      <x:c r="N6" s="41" t="n">
        <x:f>K6/F6-1</x:f>
        <x:v>0.12015127115865254</x:v>
      </x:c>
      <x:c r="O6" s="43" t="n">
        <x:v>120497947.15</x:v>
      </x:c>
    </x:row>
    <x:row r="7">
      <x:c r="A7" s="45" t="n">
        <x:v>6</x:v>
      </x:c>
      <x:c r="B7" s="26" t="str">
        <x:v>EME</x:v>
      </x:c>
      <x:c r="C7" s="26" t="str">
        <x:v>Unknown</x:v>
      </x:c>
      <x:c r="D7" s="31" t="n">
        <x:v>42559</x:v>
      </x:c>
      <x:c r="E7" s="31" t="n">
        <x:v>42562</x:v>
      </x:c>
      <x:c r="F7" s="33" t="n">
        <x:v>49.069</x:v>
      </x:c>
      <x:c r="G7" s="35" t="n">
        <x:v>107</x:v>
      </x:c>
      <x:c r="H7" s="33" t="n">
        <x:v>45.1435</x:v>
      </x:c>
      <x:c r="I7" s="37" t="n">
        <x:v>42.7</x:v>
      </x:c>
      <x:c r="J7" s="31" t="n">
        <x:v>42647</x:v>
      </x:c>
      <x:c r="K7" s="33" t="n">
        <x:v>57.6123</x:v>
      </x:c>
      <x:c r="L7" s="47" t="str">
        <x:v>timeout</x:v>
      </x:c>
      <x:c r="M7" s="39" t="n">
        <x:f>(K7-F7)*G7</x:f>
        <x:v>914.1330999999994</x:v>
      </x:c>
      <x:c r="N7" s="41" t="n">
        <x:f>K7/F7-1</x:f>
        <x:v>0.17410788889115314</x:v>
      </x:c>
      <x:c r="O7" s="43" t="n">
        <x:v>37397586.65</x:v>
      </x:c>
    </x:row>
    <x:row r="8">
      <x:c r="A8" s="45" t="n">
        <x:v>7</x:v>
      </x:c>
      <x:c r="B8" s="26" t="str">
        <x:v>MOH</x:v>
      </x:c>
      <x:c r="C8" s="26" t="str">
        <x:v>Unknown</x:v>
      </x:c>
      <x:c r="D8" s="31" t="n">
        <x:v>42664</x:v>
      </x:c>
      <x:c r="E8" s="31" t="n">
        <x:v>42667</x:v>
      </x:c>
      <x:c r="F8" s="33" t="n">
        <x:v>59.8898</x:v>
      </x:c>
      <x:c r="G8" s="35" t="n">
        <x:v>62</x:v>
      </x:c>
      <x:c r="H8" s="33" t="n">
        <x:v>55.0986</x:v>
      </x:c>
      <x:c r="I8" s="37" t="n">
        <x:v>30</x:v>
      </x:c>
      <x:c r="J8" s="31" t="n">
        <x:v>42671</x:v>
      </x:c>
      <x:c r="K8" s="33" t="n">
        <x:v>54.925</x:v>
      </x:c>
      <x:c r="L8" s="47" t="str">
        <x:v>stop</x:v>
      </x:c>
      <x:c r="M8" s="39" t="n">
        <x:f>(K8-F8)*G8</x:f>
        <x:v>-307.81760000000025</x:v>
      </x:c>
      <x:c r="N8" s="41" t="n">
        <x:f>K8/F8-1</x:f>
        <x:v>-0.08289892435773716</x:v>
      </x:c>
      <x:c r="O8" s="43" t="n">
        <x:v>27543555.85</x:v>
      </x:c>
    </x:row>
    <x:row r="9">
      <x:c r="A9" s="45" t="n">
        <x:v>8</x:v>
      </x:c>
      <x:c r="B9" s="26" t="str">
        <x:v>AVGO</x:v>
      </x:c>
      <x:c r="C9" s="26" t="str">
        <x:v>Unknown</x:v>
      </x:c>
      <x:c r="D9" s="31" t="n">
        <x:v>42667</x:v>
      </x:c>
      <x:c r="E9" s="31" t="n">
        <x:v>42668</x:v>
      </x:c>
      <x:c r="F9" s="33" t="n">
        <x:v>13.5936</x:v>
      </x:c>
      <x:c r="G9" s="35" t="n">
        <x:v>756</x:v>
      </x:c>
      <x:c r="H9" s="33" t="n">
        <x:v>12.56</x:v>
      </x:c>
      <x:c r="I9" s="37" t="n">
        <x:v>100</x:v>
      </x:c>
      <x:c r="J9" s="31" t="n">
        <x:v>42705</x:v>
      </x:c>
      <x:c r="K9" s="33" t="n">
        <x:v>12.5474</x:v>
      </x:c>
      <x:c r="L9" s="47" t="str">
        <x:v>stop</x:v>
      </x:c>
      <x:c r="M9" s="39" t="n">
        <x:f>(K9-F9)*G9</x:f>
        <x:v>-790.9272000000005</x:v>
      </x:c>
      <x:c r="N9" s="41" t="n">
        <x:f>K9/F9-1</x:f>
        <x:v>-0.07696268832391717</x:v>
      </x:c>
      <x:c r="O9" s="43" t="n">
        <x:v>290974645</x:v>
      </x:c>
    </x:row>
    <x:row r="10">
      <x:c r="A10" s="45" t="n">
        <x:v>9</x:v>
      </x:c>
      <x:c r="B10" s="26" t="str">
        <x:v>TTWO</x:v>
      </x:c>
      <x:c r="C10" s="26" t="str">
        <x:v>Unknown</x:v>
      </x:c>
      <x:c r="D10" s="31" t="n">
        <x:v>42717</x:v>
      </x:c>
      <x:c r="E10" s="31" t="n">
        <x:v>42718</x:v>
      </x:c>
      <x:c r="F10" s="33" t="n">
        <x:v>50.7607</x:v>
      </x:c>
      <x:c r="G10" s="35" t="n">
        <x:v>169</x:v>
      </x:c>
      <x:c r="H10" s="33" t="n">
        <x:v>46.6999</x:v>
      </x:c>
      <x:c r="I10" s="37" t="n">
        <x:v>70</x:v>
      </x:c>
      <x:c r="J10" s="31" t="n">
        <x:v>42808</x:v>
      </x:c>
      <x:c r="K10" s="33" t="n">
        <x:v>59.0809</x:v>
      </x:c>
      <x:c r="L10" s="47" t="str">
        <x:v>timeout</x:v>
      </x:c>
      <x:c r="M10" s="39" t="n">
        <x:f>(K10-F10)*G10</x:f>
        <x:v>1406.1138</x:v>
      </x:c>
      <x:c r="N10" s="41" t="n">
        <x:f>K10/F10-1</x:f>
        <x:v>0.1639102691649248</x:v>
      </x:c>
      <x:c r="O10" s="43" t="n">
        <x:v>80886634.5</x:v>
      </x:c>
    </x:row>
    <x:row r="11">
      <x:c r="A11" s="45" t="n">
        <x:v>10</x:v>
      </x:c>
      <x:c r="B11" s="26" t="str">
        <x:v>CAG</x:v>
      </x:c>
      <x:c r="C11" s="26" t="str">
        <x:v>Unknown</x:v>
      </x:c>
      <x:c r="D11" s="31" t="n">
        <x:v>42726</x:v>
      </x:c>
      <x:c r="E11" s="31" t="n">
        <x:v>42727</x:v>
      </x:c>
      <x:c r="F11" s="33" t="n">
        <x:v>27.7077</x:v>
      </x:c>
      <x:c r="G11" s="35" t="n">
        <x:v>133</x:v>
      </x:c>
      <x:c r="H11" s="33" t="n">
        <x:v>25.56</x:v>
      </x:c>
      <x:c r="I11" s="37" t="n">
        <x:v>30</x:v>
      </x:c>
      <x:c r="J11" s="31" t="n">
        <x:v>42817</x:v>
      </x:c>
      <x:c r="K11" s="33" t="n">
        <x:v>28.9211</x:v>
      </x:c>
      <x:c r="L11" s="47" t="str">
        <x:v>timeout</x:v>
      </x:c>
      <x:c r="M11" s="39" t="n">
        <x:f>(K11-F11)*G11</x:f>
        <x:v>161.3822</x:v>
      </x:c>
      <x:c r="N11" s="41" t="n">
        <x:f>K11/F11-1</x:f>
        <x:v>0.04379288067937792</x:v>
      </x:c>
      <x:c r="O11" s="43" t="n">
        <x:v>93140272.05</x:v>
      </x:c>
    </x:row>
    <x:row r="12">
      <x:c r="A12" s="45" t="n">
        <x:v>11</x:v>
      </x:c>
      <x:c r="B12" s="26" t="str">
        <x:v>ULTA</x:v>
      </x:c>
      <x:c r="C12" s="26" t="str">
        <x:v>Unknown</x:v>
      </x:c>
      <x:c r="D12" s="31" t="n">
        <x:v>42804</x:v>
      </x:c>
      <x:c r="E12" s="31" t="n">
        <x:v>42807</x:v>
      </x:c>
      <x:c r="F12" s="33" t="n">
        <x:v>286.7565</x:v>
      </x:c>
      <x:c r="G12" s="35" t="n">
        <x:v>13</x:v>
      </x:c>
      <x:c r="H12" s="33" t="n">
        <x:v>263.816</x:v>
      </x:c>
      <x:c r="I12" s="37" t="n">
        <x:v>30</x:v>
      </x:c>
      <x:c r="J12" s="31" t="n">
        <x:v>42893</x:v>
      </x:c>
      <x:c r="K12" s="33" t="n">
        <x:v>307.6221</x:v>
      </x:c>
      <x:c r="L12" s="47" t="str">
        <x:v>timeout</x:v>
      </x:c>
      <x:c r="M12" s="39" t="n">
        <x:f>(K12-F12)*G12</x:f>
        <x:v>271.25279999999964</x:v>
      </x:c>
      <x:c r="N12" s="41" t="n">
        <x:f>K12/F12-1</x:f>
        <x:v>0.07276417448253114</x:v>
      </x:c>
      <x:c r="O12" s="43" t="n">
        <x:v>239163427.55</x:v>
      </x:c>
    </x:row>
    <x:row r="13">
      <x:c r="A13" s="45" t="n">
        <x:v>12</x:v>
      </x:c>
      <x:c r="B13" s="26" t="str">
        <x:v>BX</x:v>
      </x:c>
      <x:c r="C13" s="26" t="str">
        <x:v>Unknown</x:v>
      </x:c>
      <x:c r="D13" s="31" t="n">
        <x:v>42852</x:v>
      </x:c>
      <x:c r="E13" s="31" t="n">
        <x:v>42853</x:v>
      </x:c>
      <x:c r="F13" s="33" t="n">
        <x:v>21.5816</x:v>
      </x:c>
      <x:c r="G13" s="35" t="n">
        <x:v>173</x:v>
      </x:c>
      <x:c r="H13" s="33" t="n">
        <x:v>19.855</x:v>
      </x:c>
      <x:c r="I13" s="37" t="n">
        <x:v>30</x:v>
      </x:c>
      <x:c r="J13" s="31" t="n">
        <x:v>42941</x:v>
      </x:c>
      <x:c r="K13" s="33" t="n">
        <x:v>23.986</x:v>
      </x:c>
      <x:c r="L13" s="47" t="str">
        <x:v>timeout</x:v>
      </x:c>
      <x:c r="M13" s="39" t="n">
        <x:f>(K13-F13)*G13</x:f>
        <x:v>415.96119999999985</x:v>
      </x:c>
      <x:c r="N13" s="41" t="n">
        <x:f>K13/F13-1</x:f>
        <x:v>0.11140971939059185</x:v>
      </x:c>
      <x:c r="O13" s="43" t="n">
        <x:v>106007191.15</x:v>
      </x:c>
    </x:row>
    <x:row r="14">
      <x:c r="A14" s="45" t="n">
        <x:v>13</x:v>
      </x:c>
      <x:c r="B14" s="26" t="str">
        <x:v>GM</x:v>
      </x:c>
      <x:c r="C14" s="26" t="str">
        <x:v>Unknown</x:v>
      </x:c>
      <x:c r="D14" s="31" t="n">
        <x:v>42979</x:v>
      </x:c>
      <x:c r="E14" s="31" t="n">
        <x:v>42983</x:v>
      </x:c>
      <x:c r="F14" s="33" t="n">
        <x:v>32.1821</x:v>
      </x:c>
      <x:c r="G14" s="35" t="n">
        <x:v>323</x:v>
      </x:c>
      <x:c r="H14" s="33" t="n">
        <x:v>29.6076</x:v>
      </x:c>
      <x:c r="I14" s="37" t="n">
        <x:v>100</x:v>
      </x:c>
      <x:c r="J14" s="31" t="n">
        <x:v>43068</x:v>
      </x:c>
      <x:c r="K14" s="33" t="n">
        <x:v>39.2407</x:v>
      </x:c>
      <x:c r="L14" s="47" t="str">
        <x:v>timeout</x:v>
      </x:c>
      <x:c r="M14" s="39" t="n">
        <x:f>(K14-F14)*G14</x:f>
        <x:v>2279.9277999999995</x:v>
      </x:c>
      <x:c r="N14" s="41" t="n">
        <x:f>K14/F14-1</x:f>
        <x:v>0.21933310753493407</x:v>
      </x:c>
      <x:c r="O14" s="43" t="n">
        <x:v>247474114.1</x:v>
      </x:c>
    </x:row>
    <x:row r="15">
      <x:c r="A15" s="45" t="n">
        <x:v>14</x:v>
      </x:c>
      <x:c r="B15" s="26" t="str">
        <x:v>NOW</x:v>
      </x:c>
      <x:c r="C15" s="26" t="str">
        <x:v>Unknown</x:v>
      </x:c>
      <x:c r="D15" s="31" t="n">
        <x:v>43046</x:v>
      </x:c>
      <x:c r="E15" s="31" t="n">
        <x:v>43047</x:v>
      </x:c>
      <x:c r="F15" s="33" t="n">
        <x:v>24.9049</x:v>
      </x:c>
      <x:c r="G15" s="35" t="n">
        <x:v>361</x:v>
      </x:c>
      <x:c r="H15" s="33" t="n">
        <x:v>22.9125</x:v>
      </x:c>
      <x:c r="I15" s="37" t="n">
        <x:v>70</x:v>
      </x:c>
      <x:c r="J15" s="31" t="n">
        <x:v>43073</x:v>
      </x:c>
      <x:c r="K15" s="33" t="n">
        <x:v>22.8896</x:v>
      </x:c>
      <x:c r="L15" s="47" t="str">
        <x:v>stop</x:v>
      </x:c>
      <x:c r="M15" s="39" t="n">
        <x:f>(K15-F15)*G15</x:f>
        <x:v>-727.5233</x:v>
      </x:c>
      <x:c r="N15" s="41" t="n">
        <x:f>K15/F15-1</x:f>
        <x:v>-0.0809198189914434</x:v>
      </x:c>
      <x:c r="O15" s="43" t="n">
        <x:v>190111731.25</x:v>
      </x:c>
    </x:row>
    <x:row r="16">
      <x:c r="A16" s="45" t="n">
        <x:v>15</x:v>
      </x:c>
      <x:c r="B16" s="26" t="str">
        <x:v>MTCH</x:v>
      </x:c>
      <x:c r="C16" s="26" t="str">
        <x:v>Unknown</x:v>
      </x:c>
      <x:c r="D16" s="31" t="n">
        <x:v>43011</x:v>
      </x:c>
      <x:c r="E16" s="31" t="n">
        <x:v>43012</x:v>
      </x:c>
      <x:c r="F16" s="33" t="n">
        <x:v>23.1031</x:v>
      </x:c>
      <x:c r="G16" s="35" t="n">
        <x:v>166</x:v>
      </x:c>
      <x:c r="H16" s="33" t="n">
        <x:v>21.2548</x:v>
      </x:c>
      <x:c r="I16" s="37" t="n">
        <x:v>30</x:v>
      </x:c>
      <x:c r="J16" s="31" t="n">
        <x:v>43098</x:v>
      </x:c>
      <x:c r="K16" s="33" t="n">
        <x:v>28.981</x:v>
      </x:c>
      <x:c r="L16" s="47" t="str">
        <x:v>timeout</x:v>
      </x:c>
      <x:c r="M16" s="39" t="n">
        <x:f>(K16-F16)*G16</x:f>
        <x:v>975.7314</x:v>
      </x:c>
      <x:c r="N16" s="41" t="n">
        <x:f>K16/F16-1</x:f>
        <x:v>0.2544204024568131</x:v>
      </x:c>
      <x:c r="O16" s="43" t="n">
        <x:v>42219438.85</x:v>
      </x:c>
    </x:row>
    <x:row r="17">
      <x:c r="A17" s="45" t="n">
        <x:v>16</x:v>
      </x:c>
      <x:c r="B17" s="26" t="str">
        <x:v>PAYC</x:v>
      </x:c>
      <x:c r="C17" s="26" t="str">
        <x:v>Unknown</x:v>
      </x:c>
      <x:c r="D17" s="31" t="n">
        <x:v>43112</x:v>
      </x:c>
      <x:c r="E17" s="31" t="n">
        <x:v>43116</x:v>
      </x:c>
      <x:c r="F17" s="33" t="n">
        <x:v>88.2982</x:v>
      </x:c>
      <x:c r="G17" s="35" t="n">
        <x:v>109</x:v>
      </x:c>
      <x:c r="H17" s="33" t="n">
        <x:v>81.2344</x:v>
      </x:c>
      <x:c r="I17" s="37" t="n">
        <x:v>90</x:v>
      </x:c>
      <x:c r="J17" s="31" t="n">
        <x:v>43137</x:v>
      </x:c>
      <x:c r="K17" s="33" t="n">
        <x:v>80.2996</x:v>
      </x:c>
      <x:c r="L17" s="47" t="str">
        <x:v>stop</x:v>
      </x:c>
      <x:c r="M17" s="39" t="n">
        <x:f>(K17-F17)*G17</x:f>
        <x:v>-871.8473999999995</x:v>
      </x:c>
      <x:c r="N17" s="41" t="n">
        <x:f>K17/F17-1</x:f>
        <x:v>-0.09058621806560041</x:v>
      </x:c>
      <x:c r="O17" s="43" t="n">
        <x:v>35855063.75</x:v>
      </x:c>
    </x:row>
    <x:row r="18">
      <x:c r="A18" s="45" t="n">
        <x:v>17</x:v>
      </x:c>
      <x:c r="B18" s="26" t="str">
        <x:v>CB</x:v>
      </x:c>
      <x:c r="C18" s="26" t="str">
        <x:v>Unknown</x:v>
      </x:c>
      <x:c r="D18" s="31" t="n">
        <x:v>43068</x:v>
      </x:c>
      <x:c r="E18" s="31" t="n">
        <x:v>43069</x:v>
      </x:c>
      <x:c r="F18" s="33" t="n">
        <x:v>132.7826</x:v>
      </x:c>
      <x:c r="G18" s="35" t="n">
        <x:v>48</x:v>
      </x:c>
      <x:c r="H18" s="33" t="n">
        <x:v>122.16</x:v>
      </x:c>
      <x:c r="I18" s="37" t="n">
        <x:v>50</x:v>
      </x:c>
      <x:c r="J18" s="31" t="n">
        <x:v>43140</x:v>
      </x:c>
      <x:c r="K18" s="33" t="n">
        <x:v>122.0378</x:v>
      </x:c>
      <x:c r="L18" s="47" t="str">
        <x:v>stop</x:v>
      </x:c>
      <x:c r="M18" s="39" t="n">
        <x:f>(K18-F18)*G18</x:f>
        <x:v>-515.7503999999999</x:v>
      </x:c>
      <x:c r="N18" s="41" t="n">
        <x:f>K18/F18-1</x:f>
        <x:v>-0.08092024105568052</x:v>
      </x:c>
      <x:c r="O18" s="43" t="n">
        <x:v>164920929.45</x:v>
      </x:c>
    </x:row>
    <x:row r="19">
      <x:c r="A19" s="45" t="n">
        <x:v>18</x:v>
      </x:c>
      <x:c r="B19" s="26" t="str">
        <x:v>SYY</x:v>
      </x:c>
      <x:c r="C19" s="26" t="str">
        <x:v>Unknown</x:v>
      </x:c>
      <x:c r="D19" s="31" t="n">
        <x:v>43066</x:v>
      </x:c>
      <x:c r="E19" s="31" t="n">
        <x:v>43067</x:v>
      </x:c>
      <x:c r="F19" s="33" t="n">
        <x:v>44.5945</x:v>
      </x:c>
      <x:c r="G19" s="35" t="n">
        <x:v>87</x:v>
      </x:c>
      <x:c r="H19" s="33" t="n">
        <x:v>41.027</x:v>
      </x:c>
      <x:c r="I19" s="37" t="n">
        <x:v>30</x:v>
      </x:c>
      <x:c r="J19" s="31" t="n">
        <x:v>43157</x:v>
      </x:c>
      <x:c r="K19" s="33" t="n">
        <x:v>48.6013</x:v>
      </x:c>
      <x:c r="L19" s="47" t="str">
        <x:v>timeout</x:v>
      </x:c>
      <x:c r="M19" s="39" t="n">
        <x:f>(K19-F19)*G19</x:f>
        <x:v>348.5916000000005</x:v>
      </x:c>
      <x:c r="N19" s="41" t="n">
        <x:f>K19/F19-1</x:f>
        <x:v>0.089849645135611</x:v>
      </x:c>
      <x:c r="O19" s="43" t="n">
        <x:v>111213263.35</x:v>
      </x:c>
    </x:row>
    <x:row r="20">
      <x:c r="A20" s="45" t="n">
        <x:v>19</x:v>
      </x:c>
      <x:c r="B20" s="26" t="str">
        <x:v>TJX</x:v>
      </x:c>
      <x:c r="C20" s="26" t="str">
        <x:v>Unknown</x:v>
      </x:c>
      <x:c r="D20" s="31" t="n">
        <x:v>43068</x:v>
      </x:c>
      <x:c r="E20" s="31" t="n">
        <x:v>43069</x:v>
      </x:c>
      <x:c r="F20" s="33" t="n">
        <x:v>33.2032</x:v>
      </x:c>
      <x:c r="G20" s="35" t="n">
        <x:v>117</x:v>
      </x:c>
      <x:c r="H20" s="33" t="n">
        <x:v>30.5469</x:v>
      </x:c>
      <x:c r="I20" s="37" t="n">
        <x:v>30</x:v>
      </x:c>
      <x:c r="J20" s="31" t="n">
        <x:v>43159</x:v>
      </x:c>
      <x:c r="K20" s="33" t="n">
        <x:v>37.5524</x:v>
      </x:c>
      <x:c r="L20" s="47" t="str">
        <x:v>timeout</x:v>
      </x:c>
      <x:c r="M20" s="39" t="n">
        <x:f>(K20-F20)*G20</x:f>
        <x:v>508.85639999999955</x:v>
      </x:c>
      <x:c r="N20" s="41" t="n">
        <x:f>K20/F20-1</x:f>
        <x:v>0.13098737471087119</x:v>
      </x:c>
      <x:c r="O20" s="43" t="n">
        <x:v>366742241.9</x:v>
      </x:c>
    </x:row>
    <x:row r="21">
      <x:c r="A21" s="45" t="n">
        <x:v>20</x:v>
      </x:c>
      <x:c r="B21" s="26" t="str">
        <x:v>COP</x:v>
      </x:c>
      <x:c r="C21" s="26" t="str">
        <x:v>Unknown</x:v>
      </x:c>
      <x:c r="D21" s="31" t="n">
        <x:v>43089</x:v>
      </x:c>
      <x:c r="E21" s="31" t="n">
        <x:v>43090</x:v>
      </x:c>
      <x:c r="F21" s="33" t="n">
        <x:v>41.8218</x:v>
      </x:c>
      <x:c r="G21" s="35" t="n">
        <x:v>108</x:v>
      </x:c>
      <x:c r="H21" s="33" t="n">
        <x:v>38.476</x:v>
      </x:c>
      <x:c r="I21" s="37" t="n">
        <x:v>35</x:v>
      </x:c>
      <x:c r="J21" s="31" t="n">
        <x:v>43180</x:v>
      </x:c>
      <x:c r="K21" s="33" t="n">
        <x:v>42.6973</x:v>
      </x:c>
      <x:c r="L21" s="47" t="str">
        <x:v>timeout</x:v>
      </x:c>
      <x:c r="M21" s="39" t="n">
        <x:f>(K21-F21)*G21</x:f>
        <x:v>94.55399999999949</x:v>
      </x:c>
      <x:c r="N21" s="41" t="n">
        <x:f>K21/F21-1</x:f>
        <x:v>0.020934058314084902</x:v>
      </x:c>
      <x:c r="O21" s="43" t="n">
        <x:v>239515593.2</x:v>
      </x:c>
    </x:row>
    <x:row r="22">
      <x:c r="A22" s="45" t="n">
        <x:v>21</x:v>
      </x:c>
      <x:c r="B22" s="26" t="str">
        <x:v>STT</x:v>
      </x:c>
      <x:c r="C22" s="26" t="str">
        <x:v>Unknown</x:v>
      </x:c>
      <x:c r="D22" s="31" t="n">
        <x:v>43158</x:v>
      </x:c>
      <x:c r="E22" s="31" t="n">
        <x:v>43159</x:v>
      </x:c>
      <x:c r="F22" s="33" t="n">
        <x:v>83.9539</x:v>
      </x:c>
      <x:c r="G22" s="35" t="n">
        <x:v>11</x:v>
      </x:c>
      <x:c r="H22" s="33" t="n">
        <x:v>77.2376</x:v>
      </x:c>
      <x:c r="I22" s="37" t="n">
        <x:v>63.3</x:v>
      </x:c>
      <x:c r="J22" s="31" t="n">
        <x:v>43182</x:v>
      </x:c>
      <x:c r="K22" s="33" t="n">
        <x:v>77.1604</x:v>
      </x:c>
      <x:c r="L22" s="47" t="str">
        <x:v>stop</x:v>
      </x:c>
      <x:c r="M22" s="39" t="n">
        <x:f>(K22-F22)*G22</x:f>
        <x:v>-74.7285000000001</x:v>
      </x:c>
      <x:c r="N22" s="41" t="n">
        <x:f>K22/F22-1</x:f>
        <x:v>-0.0809194093425083</x:v>
      </x:c>
      <x:c r="O22" s="43" t="n">
        <x:v>143539601.75</x:v>
      </x:c>
    </x:row>
    <x:row r="23">
      <x:c r="A23" s="45" t="n">
        <x:v>22</x:v>
      </x:c>
      <x:c r="B23" s="26" t="str">
        <x:v>TRGP</x:v>
      </x:c>
      <x:c r="C23" s="26" t="str">
        <x:v>Unknown</x:v>
      </x:c>
      <x:c r="D23" s="31" t="n">
        <x:v>43096</x:v>
      </x:c>
      <x:c r="E23" s="31" t="n">
        <x:v>43097</x:v>
      </x:c>
      <x:c r="F23" s="33" t="n">
        <x:v>34.9249</x:v>
      </x:c>
      <x:c r="G23" s="35" t="n">
        <x:v>111</x:v>
      </x:c>
      <x:c r="H23" s="33" t="n">
        <x:v>32.1309</x:v>
      </x:c>
      <x:c r="I23" s="37" t="n">
        <x:v>30</x:v>
      </x:c>
      <x:c r="J23" s="31" t="n">
        <x:v>43186</x:v>
      </x:c>
      <x:c r="K23" s="33" t="n">
        <x:v>34.5754</x:v>
      </x:c>
      <x:c r="L23" s="47" t="str">
        <x:v>timeout</x:v>
      </x:c>
      <x:c r="M23" s="39" t="n">
        <x:f>(K23-F23)*G23</x:f>
        <x:v>-38.79449999999989</x:v>
      </x:c>
      <x:c r="N23" s="41" t="n">
        <x:f>K23/F23-1</x:f>
        <x:v>-0.010007186849497085</x:v>
      </x:c>
      <x:c r="O23" s="43" t="n">
        <x:v>66823600.4</x:v>
      </x:c>
    </x:row>
    <x:row r="24">
      <x:c r="A24" s="45" t="n">
        <x:v>23</x:v>
      </x:c>
      <x:c r="B24" s="26" t="str">
        <x:v>ROL</x:v>
      </x:c>
      <x:c r="C24" s="26" t="str">
        <x:v>Unknown</x:v>
      </x:c>
      <x:c r="D24" s="31" t="n">
        <x:v>43146</x:v>
      </x:c>
      <x:c r="E24" s="31" t="n">
        <x:v>43147</x:v>
      </x:c>
      <x:c r="F24" s="33" t="n">
        <x:v>19.7197</x:v>
      </x:c>
      <x:c r="G24" s="35" t="n">
        <x:v>401</x:v>
      </x:c>
      <x:c r="H24" s="33" t="n">
        <x:v>18.16</x:v>
      </x:c>
      <x:c r="I24" s="37" t="n">
        <x:v>61.7</x:v>
      </x:c>
      <x:c r="J24" s="31" t="n">
        <x:v>43235</x:v>
      </x:c>
      <x:c r="K24" s="33" t="n">
        <x:v>20.2597</x:v>
      </x:c>
      <x:c r="L24" s="47" t="str">
        <x:v>timeout</x:v>
      </x:c>
      <x:c r="M24" s="39" t="n">
        <x:f>(K24-F24)*G24</x:f>
        <x:v>216.53999999999965</x:v>
      </x:c>
      <x:c r="N24" s="41" t="n">
        <x:f>K24/F24-1</x:f>
        <x:v>0.02738378372896144</x:v>
      </x:c>
      <x:c r="O24" s="43" t="n">
        <x:v>32817249.9</x:v>
      </x:c>
    </x:row>
    <x:row r="25">
      <x:c r="A25" s="45" t="n">
        <x:v>24</x:v>
      </x:c>
      <x:c r="B25" s="26" t="str">
        <x:v>IDXX</x:v>
      </x:c>
      <x:c r="C25" s="26" t="str">
        <x:v>Unknown</x:v>
      </x:c>
      <x:c r="D25" s="31" t="n">
        <x:v>43152</x:v>
      </x:c>
      <x:c r="E25" s="31" t="n">
        <x:v>43153</x:v>
      </x:c>
      <x:c r="F25" s="33" t="n">
        <x:v>184.3341</x:v>
      </x:c>
      <x:c r="G25" s="35" t="n">
        <x:v>24</x:v>
      </x:c>
      <x:c r="H25" s="33" t="n">
        <x:v>169.5874</x:v>
      </x:c>
      <x:c r="I25" s="37" t="n">
        <x:v>35</x:v>
      </x:c>
      <x:c r="J25" s="31" t="n">
        <x:v>43238</x:v>
      </x:c>
      <x:c r="K25" s="33" t="n">
        <x:v>195.6741</x:v>
      </x:c>
      <x:c r="L25" s="47" t="str">
        <x:v>timeout</x:v>
      </x:c>
      <x:c r="M25" s="39" t="n">
        <x:f>(K25-F25)*G25</x:f>
        <x:v>272.1600000000001</x:v>
      </x:c>
      <x:c r="N25" s="41" t="n">
        <x:f>K25/F25-1</x:f>
        <x:v>0.06151873147724696</x:v>
      </x:c>
      <x:c r="O25" s="43" t="n">
        <x:v>124532354.3</x:v>
      </x:c>
    </x:row>
    <x:row r="26">
      <x:c r="A26" s="45" t="n">
        <x:v>25</x:v>
      </x:c>
      <x:c r="B26" s="26" t="str">
        <x:v>HUM</x:v>
      </x:c>
      <x:c r="C26" s="26" t="str">
        <x:v>Unknown</x:v>
      </x:c>
      <x:c r="D26" s="31" t="n">
        <x:v>43158</x:v>
      </x:c>
      <x:c r="E26" s="31" t="n">
        <x:v>43159</x:v>
      </x:c>
      <x:c r="F26" s="33" t="n">
        <x:v>259.239</x:v>
      </x:c>
      <x:c r="G26" s="35" t="n">
        <x:v>39</x:v>
      </x:c>
      <x:c r="H26" s="33" t="n">
        <x:v>238.4999</x:v>
      </x:c>
      <x:c r="I26" s="37" t="n">
        <x:v>80</x:v>
      </x:c>
      <x:c r="J26" s="31" t="n">
        <x:v>43244</x:v>
      </x:c>
      <x:c r="K26" s="33" t="n">
        <x:v>273.4762</x:v>
      </x:c>
      <x:c r="L26" s="47" t="str">
        <x:v>timeout</x:v>
      </x:c>
      <x:c r="M26" s="39" t="n">
        <x:f>(K26-F26)*G26</x:f>
        <x:v>555.2508000000012</x:v>
      </x:c>
      <x:c r="N26" s="41" t="n">
        <x:f>K26/F26-1</x:f>
        <x:v>0.05491920582936993</x:v>
      </x:c>
      <x:c r="O26" s="43" t="n">
        <x:v>284609195.45</x:v>
      </x:c>
    </x:row>
    <x:row r="27">
      <x:c r="A27" s="45" t="n">
        <x:v>26</x:v>
      </x:c>
      <x:c r="B27" s="26" t="str">
        <x:v>TTWO</x:v>
      </x:c>
      <x:c r="C27" s="26" t="str">
        <x:v>Unknown</x:v>
      </x:c>
      <x:c r="D27" s="31" t="n">
        <x:v>43265</x:v>
      </x:c>
      <x:c r="E27" s="31" t="n">
        <x:v>43266</x:v>
      </x:c>
      <x:c r="F27" s="33" t="n">
        <x:v>121.9919</x:v>
      </x:c>
      <x:c r="G27" s="35" t="n">
        <x:v>32</x:v>
      </x:c>
      <x:c r="H27" s="33" t="n">
        <x:v>112.2325</x:v>
      </x:c>
      <x:c r="I27" s="37" t="n">
        <x:v>30</x:v>
      </x:c>
      <x:c r="J27" s="31" t="n">
        <x:v>43313</x:v>
      </x:c>
      <x:c r="K27" s="33" t="n">
        <x:v>112.1203</x:v>
      </x:c>
      <x:c r="L27" s="47" t="str">
        <x:v>stop</x:v>
      </x:c>
      <x:c r="M27" s="39" t="n">
        <x:f>(K27-F27)*G27</x:f>
        <x:v>-315.8912</x:v>
      </x:c>
      <x:c r="N27" s="41" t="n">
        <x:f>K27/F27-1</x:f>
        <x:v>-0.08092012666414738</x:v>
      </x:c>
      <x:c r="O27" s="43" t="n">
        <x:v>231931707.3</x:v>
      </x:c>
    </x:row>
    <x:row r="28">
      <x:c r="A28" s="45" t="n">
        <x:v>27</x:v>
      </x:c>
      <x:c r="B28" s="26" t="str">
        <x:v>IDXX</x:v>
      </x:c>
      <x:c r="C28" s="26" t="str">
        <x:v>Unknown</x:v>
      </x:c>
      <x:c r="D28" s="31" t="n">
        <x:v>43252</x:v>
      </x:c>
      <x:c r="E28" s="31" t="n">
        <x:v>43255</x:v>
      </x:c>
      <x:c r="F28" s="33" t="n">
        <x:v>216.1059</x:v>
      </x:c>
      <x:c r="G28" s="35" t="n">
        <x:v>49</x:v>
      </x:c>
      <x:c r="H28" s="33" t="n">
        <x:v>198.8174</x:v>
      </x:c>
      <x:c r="I28" s="37" t="n">
        <x:v>85</x:v>
      </x:c>
      <x:c r="J28" s="31" t="n">
        <x:v>43340</x:v>
      </x:c>
      <x:c r="K28" s="33" t="n">
        <x:v>251.3684</x:v>
      </x:c>
      <x:c r="L28" s="47" t="str">
        <x:v>timeout</x:v>
      </x:c>
      <x:c r="M28" s="39" t="n">
        <x:f>(K28-F28)*G28</x:f>
        <x:v>1727.8625000000009</x:v>
      </x:c>
      <x:c r="N28" s="41" t="n">
        <x:f>K28/F28-1</x:f>
        <x:v>0.16317231505479501</x:v>
      </x:c>
      <x:c r="O28" s="43" t="n">
        <x:v>114915166.95</x:v>
      </x:c>
    </x:row>
    <x:row r="29">
      <x:c r="A29" s="45" t="n">
        <x:v>28</x:v>
      </x:c>
      <x:c r="B29" s="26" t="str">
        <x:v>NOW</x:v>
      </x:c>
      <x:c r="C29" s="26" t="str">
        <x:v>Unknown</x:v>
      </x:c>
      <x:c r="D29" s="31" t="n">
        <x:v>43355</x:v>
      </x:c>
      <x:c r="E29" s="31" t="n">
        <x:v>43356</x:v>
      </x:c>
      <x:c r="F29" s="33" t="n">
        <x:v>40.8408</x:v>
      </x:c>
      <x:c r="G29" s="35" t="n">
        <x:v>273</x:v>
      </x:c>
      <x:c r="H29" s="33" t="n">
        <x:v>37.5735</x:v>
      </x:c>
      <x:c r="I29" s="37" t="n">
        <x:v>85</x:v>
      </x:c>
      <x:c r="J29" s="31" t="n">
        <x:v>43362</x:v>
      </x:c>
      <x:c r="K29" s="33" t="n">
        <x:v>37.5359</x:v>
      </x:c>
      <x:c r="L29" s="47" t="str">
        <x:v>stop</x:v>
      </x:c>
      <x:c r="M29" s="39" t="n">
        <x:f>(K29-F29)*G29</x:f>
        <x:v>-902.2377000000009</x:v>
      </x:c>
      <x:c r="N29" s="41" t="n">
        <x:f>K29/F29-1</x:f>
        <x:v>-0.08092152945094133</x:v>
      </x:c>
      <x:c r="O29" s="43" t="n">
        <x:v>341850693.75</x:v>
      </x:c>
    </x:row>
    <x:row r="30">
      <x:c r="A30" s="45" t="n">
        <x:v>29</x:v>
      </x:c>
      <x:c r="B30" s="26" t="str">
        <x:v>AMD</x:v>
      </x:c>
      <x:c r="C30" s="26" t="str">
        <x:v>Unknown</x:v>
      </x:c>
      <x:c r="D30" s="31" t="n">
        <x:v>43333</x:v>
      </x:c>
      <x:c r="E30" s="31" t="n">
        <x:v>43334</x:v>
      </x:c>
      <x:c r="F30" s="33" t="n">
        <x:v>20.3003</x:v>
      </x:c>
      <x:c r="G30" s="35" t="n">
        <x:v>301</x:v>
      </x:c>
      <x:c r="H30" s="33" t="n">
        <x:v>18.6763</x:v>
      </x:c>
      <x:c r="I30" s="37" t="n">
        <x:v>46.7</x:v>
      </x:c>
      <x:c r="J30" s="31" t="n">
        <x:v>43398</x:v>
      </x:c>
      <x:c r="K30" s="33" t="n">
        <x:v>17.9021</x:v>
      </x:c>
      <x:c r="L30" s="47" t="str">
        <x:v>stop</x:v>
      </x:c>
      <x:c r="M30" s="39" t="n">
        <x:f>(K30-F30)*G30</x:f>
        <x:v>-721.8581999999998</x:v>
      </x:c>
      <x:c r="N30" s="41" t="n">
        <x:f>K30/F30-1</x:f>
        <x:v>-0.11813618517952928</x:v>
      </x:c>
      <x:c r="O30" s="43" t="n">
        <x:v>1642019020.95</x:v>
      </x:c>
    </x:row>
    <x:row r="31">
      <x:c r="A31" s="45" t="n">
        <x:v>30</x:v>
      </x:c>
      <x:c r="B31" s="26" t="str">
        <x:v>CVS</x:v>
      </x:c>
      <x:c r="C31" s="26" t="str">
        <x:v>Unknown</x:v>
      </x:c>
      <x:c r="D31" s="31" t="n">
        <x:v>43349</x:v>
      </x:c>
      <x:c r="E31" s="31" t="n">
        <x:v>43350</x:v>
      </x:c>
      <x:c r="F31" s="33" t="n">
        <x:v>59.6396</x:v>
      </x:c>
      <x:c r="G31" s="35" t="n">
        <x:v>157</x:v>
      </x:c>
      <x:c r="H31" s="33" t="n">
        <x:v>54.8684</x:v>
      </x:c>
      <x:c r="I31" s="37" t="n">
        <x:v>70</x:v>
      </x:c>
      <x:c r="J31" s="31" t="n">
        <x:v>43399</x:v>
      </x:c>
      <x:c r="K31" s="33" t="n">
        <x:v>54.8135</x:v>
      </x:c>
      <x:c r="L31" s="47" t="str">
        <x:v>stop</x:v>
      </x:c>
      <x:c r="M31" s="39" t="n">
        <x:f>(K31-F31)*G31</x:f>
        <x:v>-757.6977000000006</x:v>
      </x:c>
      <x:c r="N31" s="41" t="n">
        <x:f>K31/F31-1</x:f>
        <x:v>-0.0809210658689864</x:v>
      </x:c>
      <x:c r="O31" s="43" t="n">
        <x:v>398152885.65</x:v>
      </x:c>
    </x:row>
    <x:row r="32">
      <x:c r="A32" s="45" t="n">
        <x:v>31</x:v>
      </x:c>
      <x:c r="B32" s="26" t="str">
        <x:v>CVS</x:v>
      </x:c>
      <x:c r="C32" s="26" t="str">
        <x:v>Unknown</x:v>
      </x:c>
      <x:c r="D32" s="31" t="n">
        <x:v>43431</x:v>
      </x:c>
      <x:c r="E32" s="31" t="n">
        <x:v>43432</x:v>
      </x:c>
      <x:c r="F32" s="33" t="n">
        <x:v>63.7937</x:v>
      </x:c>
      <x:c r="G32" s="35" t="n">
        <x:v>127</x:v>
      </x:c>
      <x:c r="H32" s="33" t="n">
        <x:v>58.6902</x:v>
      </x:c>
      <x:c r="I32" s="37" t="n">
        <x:v>63.3</x:v>
      </x:c>
      <x:c r="J32" s="31" t="n">
        <x:v>43440</x:v>
      </x:c>
      <x:c r="K32" s="33" t="n">
        <x:v>58.6315</x:v>
      </x:c>
      <x:c r="L32" s="47" t="str">
        <x:v>stop</x:v>
      </x:c>
      <x:c r="M32" s="39" t="n">
        <x:f>(K32-F32)*G32</x:f>
        <x:v>-655.5993999999998</x:v>
      </x:c>
      <x:c r="N32" s="41" t="n">
        <x:f>K32/F32-1</x:f>
        <x:v>-0.08092021625959933</x:v>
      </x:c>
      <x:c r="O32" s="43" t="n">
        <x:v>487380184.95</x:v>
      </x:c>
    </x:row>
    <x:row r="33">
      <x:c r="A33" s="45" t="n">
        <x:v>32</x:v>
      </x:c>
      <x:c r="B33" s="26" t="str">
        <x:v>CTSH</x:v>
      </x:c>
      <x:c r="C33" s="26" t="str">
        <x:v>Unknown</x:v>
      </x:c>
      <x:c r="D33" s="31" t="n">
        <x:v>43565</x:v>
      </x:c>
      <x:c r="E33" s="31" t="n">
        <x:v>43566</x:v>
      </x:c>
      <x:c r="F33" s="33" t="n">
        <x:v>67.5875</x:v>
      </x:c>
      <x:c r="G33" s="35" t="n">
        <x:v>155</x:v>
      </x:c>
      <x:c r="H33" s="33" t="n">
        <x:v>62.1805</x:v>
      </x:c>
      <x:c r="I33" s="37" t="n">
        <x:v>100</x:v>
      </x:c>
      <x:c r="J33" s="31" t="n">
        <x:v>43587</x:v>
      </x:c>
      <x:c r="K33" s="33" t="n">
        <x:v>62.1183</x:v>
      </x:c>
      <x:c r="L33" s="47" t="str">
        <x:v>stop</x:v>
      </x:c>
      <x:c r="M33" s="39" t="n">
        <x:f>(K33-F33)*G33</x:f>
        <x:v>-847.7260000000012</x:v>
      </x:c>
      <x:c r="N33" s="41" t="n">
        <x:f>K33/F33-1</x:f>
        <x:v>-0.0809202885148882</x:v>
      </x:c>
      <x:c r="O33" s="43" t="n">
        <x:v>182264109.65</x:v>
      </x:c>
    </x:row>
    <x:row r="34">
      <x:c r="A34" s="45" t="n">
        <x:v>33</x:v>
      </x:c>
      <x:c r="B34" s="26" t="str">
        <x:v>TER</x:v>
      </x:c>
      <x:c r="C34" s="26" t="str">
        <x:v>Unknown</x:v>
      </x:c>
      <x:c r="D34" s="31" t="n">
        <x:v>43670</x:v>
      </x:c>
      <x:c r="E34" s="31" t="n">
        <x:v>43671</x:v>
      </x:c>
      <x:c r="F34" s="33" t="n">
        <x:v>55.5655</x:v>
      </x:c>
      <x:c r="G34" s="35" t="n">
        <x:v>22</x:v>
      </x:c>
      <x:c r="H34" s="33" t="n">
        <x:v>51.1203</x:v>
      </x:c>
      <x:c r="I34" s="37" t="n">
        <x:v>70</x:v>
      </x:c>
      <x:c r="J34" s="31" t="n">
        <x:v>43682</x:v>
      </x:c>
      <x:c r="K34" s="33" t="n">
        <x:v>50.3196</x:v>
      </x:c>
      <x:c r="L34" s="47" t="str">
        <x:v>stop</x:v>
      </x:c>
      <x:c r="M34" s="39" t="n">
        <x:f>(K34-F34)*G34</x:f>
        <x:v>-115.40979999999998</x:v>
      </x:c>
      <x:c r="N34" s="41" t="n">
        <x:f>K34/F34-1</x:f>
        <x:v>-0.0944093007351684</x:v>
      </x:c>
      <x:c r="O34" s="43" t="n">
        <x:v>132156787.5</x:v>
      </x:c>
    </x:row>
    <x:row r="35">
      <x:c r="A35" s="45" t="n">
        <x:v>34</x:v>
      </x:c>
      <x:c r="B35" s="26" t="str">
        <x:v>EME</x:v>
      </x:c>
      <x:c r="C35" s="26" t="str">
        <x:v>Unknown</x:v>
      </x:c>
      <x:c r="D35" s="31" t="n">
        <x:v>43606</x:v>
      </x:c>
      <x:c r="E35" s="31" t="n">
        <x:v>43607</x:v>
      </x:c>
      <x:c r="F35" s="33" t="n">
        <x:v>81.091</x:v>
      </x:c>
      <x:c r="G35" s="35" t="n">
        <x:v>124</x:v>
      </x:c>
      <x:c r="H35" s="33" t="n">
        <x:v>74.6037</x:v>
      </x:c>
      <x:c r="I35" s="37" t="n">
        <x:v>80</x:v>
      </x:c>
      <x:c r="J35" s="31" t="n">
        <x:v>43693</x:v>
      </x:c>
      <x:c r="K35" s="33" t="n">
        <x:v>79.2507</x:v>
      </x:c>
      <x:c r="L35" s="47" t="str">
        <x:v>timeout</x:v>
      </x:c>
      <x:c r="M35" s="39" t="n">
        <x:f>(K35-F35)*G35</x:f>
        <x:v>-228.1971999999999</x:v>
      </x:c>
      <x:c r="N35" s="41" t="n">
        <x:f>K35/F35-1</x:f>
        <x:v>-0.02269425706921857</x:v>
      </x:c>
      <x:c r="O35" s="43" t="n">
        <x:v>28412510.7</x:v>
      </x:c>
    </x:row>
    <x:row r="36">
      <x:c r="A36" s="45" t="n">
        <x:v>35</x:v>
      </x:c>
      <x:c r="B36" s="26" t="str">
        <x:v>DIS</x:v>
      </x:c>
      <x:c r="C36" s="26" t="str">
        <x:v>Unknown</x:v>
      </x:c>
      <x:c r="D36" s="31" t="n">
        <x:v>43622</x:v>
      </x:c>
      <x:c r="E36" s="31" t="n">
        <x:v>43623</x:v>
      </x:c>
      <x:c r="F36" s="33" t="n">
        <x:v>132.9428</x:v>
      </x:c>
      <x:c r="G36" s="35" t="n">
        <x:v>28</x:v>
      </x:c>
      <x:c r="H36" s="33" t="n">
        <x:v>122.3074</x:v>
      </x:c>
      <x:c r="I36" s="37" t="n">
        <x:v>30</x:v>
      </x:c>
      <x:c r="J36" s="31" t="n">
        <x:v>43711</x:v>
      </x:c>
      <x:c r="K36" s="33" t="n">
        <x:v>132.3076</x:v>
      </x:c>
      <x:c r="L36" s="47" t="str">
        <x:v>timeout</x:v>
      </x:c>
      <x:c r="M36" s="39" t="n">
        <x:f>(K36-F36)*G36</x:f>
        <x:v>-17.78559999999993</x:v>
      </x:c>
      <x:c r="N36" s="41" t="n">
        <x:f>K36/F36-1</x:f>
        <x:v>-0.004777994746612779</x:v>
      </x:c>
      <x:c r="O36" s="43" t="n">
        <x:v>1075865114.5</x:v>
      </x:c>
    </x:row>
    <x:row r="37">
      <x:c r="A37" s="45" t="n">
        <x:v>36</x:v>
      </x:c>
      <x:c r="B37" s="26" t="str">
        <x:v>MRK</x:v>
      </x:c>
      <x:c r="C37" s="26" t="str">
        <x:v>Unknown</x:v>
      </x:c>
      <x:c r="D37" s="31" t="n">
        <x:v>43623</x:v>
      </x:c>
      <x:c r="E37" s="31" t="n">
        <x:v>43626</x:v>
      </x:c>
      <x:c r="F37" s="33" t="n">
        <x:v>64.0039</x:v>
      </x:c>
      <x:c r="G37" s="35" t="n">
        <x:v>163</x:v>
      </x:c>
      <x:c r="H37" s="33" t="n">
        <x:v>59.39</x:v>
      </x:c>
      <x:c r="I37" s="37" t="n">
        <x:v>85</x:v>
      </x:c>
      <x:c r="J37" s="31" t="n">
        <x:v>43712</x:v>
      </x:c>
      <x:c r="K37" s="33" t="n">
        <x:v>67.7722</x:v>
      </x:c>
      <x:c r="L37" s="47" t="str">
        <x:v>timeout</x:v>
      </x:c>
      <x:c r="M37" s="39" t="n">
        <x:f>(K37-F37)*G37</x:f>
        <x:v>614.2328999999994</x:v>
      </x:c>
      <x:c r="N37" s="41" t="n">
        <x:f>K37/F37-1</x:f>
        <x:v>0.05887609973767227</x:v>
      </x:c>
      <x:c r="O37" s="43" t="n">
        <x:v>583704340.01</x:v>
      </x:c>
    </x:row>
    <x:row r="38">
      <x:c r="A38" s="45" t="n">
        <x:v>37</x:v>
      </x:c>
      <x:c r="B38" s="26" t="str">
        <x:v>BLDR</x:v>
      </x:c>
      <x:c r="C38" s="26" t="str">
        <x:v>Unknown</x:v>
      </x:c>
      <x:c r="D38" s="31" t="n">
        <x:v>43644</x:v>
      </x:c>
      <x:c r="E38" s="31" t="n">
        <x:v>43647</x:v>
      </x:c>
      <x:c r="F38" s="33" t="n">
        <x:v>17.1271</x:v>
      </x:c>
      <x:c r="G38" s="35" t="n">
        <x:v>348</x:v>
      </x:c>
      <x:c r="H38" s="33" t="n">
        <x:v>15.7569</x:v>
      </x:c>
      <x:c r="I38" s="37" t="n">
        <x:v>46.7</x:v>
      </x:c>
      <x:c r="J38" s="31" t="n">
        <x:v>43733</x:v>
      </x:c>
      <x:c r="K38" s="33" t="n">
        <x:v>20.2497</x:v>
      </x:c>
      <x:c r="L38" s="47" t="str">
        <x:v>timeout</x:v>
      </x:c>
      <x:c r="M38" s="39" t="n">
        <x:f>(K38-F38)*G38</x:f>
        <x:v>1086.6648000000007</x:v>
      </x:c>
      <x:c r="N38" s="41" t="n">
        <x:f>K38/F38-1</x:f>
        <x:v>0.1823192484425269</x:v>
      </x:c>
      <x:c r="O38" s="43" t="n">
        <x:v>17143407.2</x:v>
      </x:c>
    </x:row>
    <x:row r="39">
      <x:c r="A39" s="45" t="n">
        <x:v>38</x:v>
      </x:c>
      <x:c r="B39" s="26" t="str">
        <x:v>SYK</x:v>
      </x:c>
      <x:c r="C39" s="26" t="str">
        <x:v>Unknown</x:v>
      </x:c>
      <x:c r="D39" s="31" t="n">
        <x:v>43685</x:v>
      </x:c>
      <x:c r="E39" s="31" t="n">
        <x:v>43686</x:v>
      </x:c>
      <x:c r="F39" s="33" t="n">
        <x:v>202.7225</x:v>
      </x:c>
      <x:c r="G39" s="35" t="n">
        <x:v>7</x:v>
      </x:c>
      <x:c r="H39" s="33" t="n">
        <x:v>186.5047</x:v>
      </x:c>
      <x:c r="I39" s="37" t="n">
        <x:v>62</x:v>
      </x:c>
      <x:c r="J39" s="31" t="n">
        <x:v>43773</x:v>
      </x:c>
      <x:c r="K39" s="33" t="n">
        <x:v>192.5273</x:v>
      </x:c>
      <x:c r="L39" s="47" t="str">
        <x:v>timeout</x:v>
      </x:c>
      <x:c r="M39" s="39" t="n">
        <x:f>(K39-F39)*G39</x:f>
        <x:v>-71.3664</x:v>
      </x:c>
      <x:c r="N39" s="41" t="n">
        <x:f>K39/F39-1</x:f>
        <x:v>-0.05029140820579858</x:v>
      </x:c>
      <x:c r="O39" s="43" t="n">
        <x:v>229228743.6</x:v>
      </x:c>
    </x:row>
    <x:row r="40">
      <x:c r="A40" s="45" t="n">
        <x:v>39</x:v>
      </x:c>
      <x:c r="B40" s="26" t="str">
        <x:v>KO</x:v>
      </x:c>
      <x:c r="C40" s="26" t="str">
        <x:v>Unknown</x:v>
      </x:c>
      <x:c r="D40" s="31" t="n">
        <x:v>43685</x:v>
      </x:c>
      <x:c r="E40" s="31" t="n">
        <x:v>43686</x:v>
      </x:c>
      <x:c r="F40" s="33" t="n">
        <x:v>44.1341</x:v>
      </x:c>
      <x:c r="G40" s="35" t="n">
        <x:v>4</x:v>
      </x:c>
      <x:c r="H40" s="33" t="n">
        <x:v>40.6034</x:v>
      </x:c>
      <x:c r="I40" s="37" t="n">
        <x:v>40</x:v>
      </x:c>
      <x:c r="J40" s="31" t="n">
        <x:v>43773</x:v>
      </x:c>
      <x:c r="K40" s="33" t="n">
        <x:v>44.5154</x:v>
      </x:c>
      <x:c r="L40" s="47" t="str">
        <x:v>timeout</x:v>
      </x:c>
      <x:c r="M40" s="39" t="n">
        <x:f>(K40-F40)*G40</x:f>
        <x:v>1.5252000000000123</x:v>
      </x:c>
      <x:c r="N40" s="41" t="n">
        <x:f>K40/F40-1</x:f>
        <x:v>0.008639578013373006</x:v>
      </x:c>
      <x:c r="O40" s="43" t="n">
        <x:v>608699116.2</x:v>
      </x:c>
    </x:row>
    <x:row r="41">
      <x:c r="A41" s="45" t="n">
        <x:v>40</x:v>
      </x:c>
      <x:c r="B41" s="26" t="str">
        <x:v>CE</x:v>
      </x:c>
      <x:c r="C41" s="26" t="str">
        <x:v>Unknown</x:v>
      </x:c>
      <x:c r="D41" s="31" t="n">
        <x:v>43713</x:v>
      </x:c>
      <x:c r="E41" s="31" t="n">
        <x:v>43714</x:v>
      </x:c>
      <x:c r="F41" s="33" t="n">
        <x:v>104.8748</x:v>
      </x:c>
      <x:c r="G41" s="35" t="n">
        <x:v>41</x:v>
      </x:c>
      <x:c r="H41" s="33" t="n">
        <x:v>96.4848</x:v>
      </x:c>
      <x:c r="I41" s="37" t="n">
        <x:v>34</x:v>
      </x:c>
      <x:c r="J41" s="31" t="n">
        <x:v>43801</x:v>
      </x:c>
      <x:c r="K41" s="33" t="n">
        <x:v>112.3076</x:v>
      </x:c>
      <x:c r="L41" s="47" t="str">
        <x:v>timeout</x:v>
      </x:c>
      <x:c r="M41" s="39" t="n">
        <x:f>(K41-F41)*G41</x:f>
        <x:v>304.7448</x:v>
      </x:c>
      <x:c r="N41" s="41" t="n">
        <x:f>K41/F41-1</x:f>
        <x:v>0.07087307913817242</x:v>
      </x:c>
      <x:c r="O41" s="43" t="n">
        <x:v>86860227.1</x:v>
      </x:c>
    </x:row>
    <x:row r="42">
      <x:c r="A42" s="45" t="n">
        <x:v>41</x:v>
      </x:c>
      <x:c r="B42" s="26" t="str">
        <x:v>AIZ</x:v>
      </x:c>
      <x:c r="C42" s="26" t="str">
        <x:v>Unknown</x:v>
      </x:c>
      <x:c r="D42" s="31" t="n">
        <x:v>43720</x:v>
      </x:c>
      <x:c r="E42" s="31" t="n">
        <x:v>43721</x:v>
      </x:c>
      <x:c r="F42" s="33" t="n">
        <x:v>112.4223</x:v>
      </x:c>
      <x:c r="G42" s="35" t="n">
        <x:v>64</x:v>
      </x:c>
      <x:c r="H42" s="33" t="n">
        <x:v>103.4285</x:v>
      </x:c>
      <x:c r="I42" s="37" t="n">
        <x:v>56</x:v>
      </x:c>
      <x:c r="J42" s="31" t="n">
        <x:v>43808</x:v>
      </x:c>
      <x:c r="K42" s="33" t="n">
        <x:v>118.0119</x:v>
      </x:c>
      <x:c r="L42" s="47" t="str">
        <x:v>timeout</x:v>
      </x:c>
      <x:c r="M42" s="39" t="n">
        <x:f>(K42-F42)*G42</x:f>
        <x:v>357.73439999999937</x:v>
      </x:c>
      <x:c r="N42" s="41" t="n">
        <x:f>K42/F42-1</x:f>
        <x:v>0.04971967305418934</x:v>
      </x:c>
      <x:c r="O42" s="43" t="n">
        <x:v>66958299</x:v>
      </x:c>
    </x:row>
    <x:row r="43">
      <x:c r="A43" s="45" t="n">
        <x:v>42</x:v>
      </x:c>
      <x:c r="B43" s="26" t="str">
        <x:v>ON</x:v>
      </x:c>
      <x:c r="C43" s="26" t="str">
        <x:v>Unknown</x:v>
      </x:c>
      <x:c r="D43" s="31" t="n">
        <x:v>43805</x:v>
      </x:c>
      <x:c r="E43" s="31" t="n">
        <x:v>43808</x:v>
      </x:c>
      <x:c r="F43" s="33" t="n">
        <x:v>22.1621</x:v>
      </x:c>
      <x:c r="G43" s="35" t="n">
        <x:v>397</x:v>
      </x:c>
      <x:c r="H43" s="33" t="n">
        <x:v>20.3892</x:v>
      </x:c>
      <x:c r="I43" s="37" t="n">
        <x:v>68.3</x:v>
      </x:c>
      <x:c r="J43" s="31" t="n">
        <x:v>43864</x:v>
      </x:c>
      <x:c r="K43" s="33" t="n">
        <x:v>20.3688</x:v>
      </x:c>
      <x:c r="L43" s="47" t="str">
        <x:v>stop</x:v>
      </x:c>
      <x:c r="M43" s="39" t="n">
        <x:f>(K43-F43)*G43</x:f>
        <x:v>-711.9400999999995</x:v>
      </x:c>
      <x:c r="N43" s="41" t="n">
        <x:f>K43/F43-1</x:f>
        <x:v>-0.08091742208545216</x:v>
      </x:c>
      <x:c r="O43" s="43" t="n">
        <x:v>78578560.55</x:v>
      </x:c>
    </x:row>
    <x:row r="44">
      <x:c r="A44" s="45" t="n">
        <x:v>43</x:v>
      </x:c>
      <x:c r="B44" s="26" t="str">
        <x:v>CBOE</x:v>
      </x:c>
      <x:c r="C44" s="26" t="str">
        <x:v>Unknown</x:v>
      </x:c>
      <x:c r="D44" s="31" t="n">
        <x:v>43867</x:v>
      </x:c>
      <x:c r="E44" s="31" t="n">
        <x:v>43868</x:v>
      </x:c>
      <x:c r="F44" s="33" t="n">
        <x:v>115.5054</x:v>
      </x:c>
      <x:c r="G44" s="35" t="n">
        <x:v>33</x:v>
      </x:c>
      <x:c r="H44" s="33" t="n">
        <x:v>106.265</x:v>
      </x:c>
      <x:c r="I44" s="37" t="n">
        <x:v>30</x:v>
      </x:c>
      <x:c r="J44" s="31" t="n">
        <x:v>43889</x:v>
      </x:c>
      <x:c r="K44" s="33" t="n">
        <x:v>106.1587</x:v>
      </x:c>
      <x:c r="L44" s="47" t="str">
        <x:v>stop</x:v>
      </x:c>
      <x:c r="M44" s="39" t="n">
        <x:f>(K44-F44)*G44</x:f>
        <x:v>-308.44109999999995</x:v>
      </x:c>
      <x:c r="N44" s="41" t="n">
        <x:f>K44/F44-1</x:f>
        <x:v>-0.08092002624985495</x:v>
      </x:c>
      <x:c r="O44" s="43" t="n">
        <x:v>73989720.4</x:v>
      </x:c>
    </x:row>
    <x:row r="45">
      <x:c r="A45" s="45" t="n">
        <x:v>44</x:v>
      </x:c>
      <x:c r="B45" s="26" t="str">
        <x:v>CLX</x:v>
      </x:c>
      <x:c r="C45" s="26" t="str">
        <x:v>Unknown</x:v>
      </x:c>
      <x:c r="D45" s="31" t="n">
        <x:v>43907</x:v>
      </x:c>
      <x:c r="E45" s="31" t="n">
        <x:v>43908</x:v>
      </x:c>
      <x:c r="F45" s="33" t="n">
        <x:v>164.0839</x:v>
      </x:c>
      <x:c r="G45" s="35" t="n">
        <x:v>32</x:v>
      </x:c>
      <x:c r="H45" s="33" t="n">
        <x:v>150.9572</x:v>
      </x:c>
      <x:c r="I45" s="37" t="n">
        <x:v>42.2</x:v>
      </x:c>
      <x:c r="J45" s="31" t="n">
        <x:v>43910</x:v>
      </x:c>
      <x:c r="K45" s="33" t="n">
        <x:v>150.8062</x:v>
      </x:c>
      <x:c r="L45" s="47" t="str">
        <x:v>stop</x:v>
      </x:c>
      <x:c r="M45" s="39" t="n">
        <x:f>(K45-F45)*G45</x:f>
        <x:v>-424.8864000000003</x:v>
      </x:c>
      <x:c r="N45" s="41" t="n">
        <x:f>K45/F45-1</x:f>
        <x:v>-0.08092018778198229</x:v>
      </x:c>
      <x:c r="O45" s="43" t="n">
        <x:v>440723550.25</x:v>
      </x:c>
    </x:row>
    <x:row r="46">
      <x:c r="A46" s="45" t="n">
        <x:v>45</x:v>
      </x:c>
      <x:c r="B46" s="26" t="str">
        <x:v>SWKS</x:v>
      </x:c>
      <x:c r="C46" s="26" t="str">
        <x:v>Unknown</x:v>
      </x:c>
      <x:c r="D46" s="31" t="n">
        <x:v>44042</x:v>
      </x:c>
      <x:c r="E46" s="31" t="n">
        <x:v>44043</x:v>
      </x:c>
      <x:c r="F46" s="33" t="n">
        <x:v>126.146</x:v>
      </x:c>
      <x:c r="G46" s="35" t="n">
        <x:v>70</x:v>
      </x:c>
      <x:c r="H46" s="33" t="n">
        <x:v>116.0543</x:v>
      </x:c>
      <x:c r="I46" s="37" t="n">
        <x:v>70</x:v>
      </x:c>
      <x:c r="J46" s="31" t="n">
        <x:v>44082</x:v>
      </x:c>
      <x:c r="K46" s="33" t="n">
        <x:v>115.9382</x:v>
      </x:c>
      <x:c r="L46" s="47" t="str">
        <x:v>stop</x:v>
      </x:c>
      <x:c r="M46" s="39" t="n">
        <x:f>(K46-F46)*G46</x:f>
        <x:v>-714.5460000000004</x:v>
      </x:c>
      <x:c r="N46" s="41" t="n">
        <x:f>K46/F46-1</x:f>
        <x:v>-0.08092052066652933</x:v>
      </x:c>
      <x:c r="O46" s="43" t="n">
        <x:v>217462468.2</x:v>
      </x:c>
    </x:row>
    <x:row r="47">
      <x:c r="A47" s="45" t="n">
        <x:v>46</x:v>
      </x:c>
      <x:c r="B47" s="26" t="str">
        <x:v>PPG</x:v>
      </x:c>
      <x:c r="C47" s="26" t="str">
        <x:v>Unknown</x:v>
      </x:c>
      <x:c r="D47" s="31" t="n">
        <x:v>44085</x:v>
      </x:c>
      <x:c r="E47" s="31" t="n">
        <x:v>44088</x:v>
      </x:c>
      <x:c r="F47" s="33" t="n">
        <x:v>115.6655</x:v>
      </x:c>
      <x:c r="G47" s="35" t="n">
        <x:v>76</x:v>
      </x:c>
      <x:c r="H47" s="33" t="n">
        <x:v>106.4123</x:v>
      </x:c>
      <x:c r="I47" s="37" t="n">
        <x:v>70</x:v>
      </x:c>
      <x:c r="J47" s="31" t="n">
        <x:v>44097</x:v>
      </x:c>
      <x:c r="K47" s="33" t="n">
        <x:v>106.3059</x:v>
      </x:c>
      <x:c r="L47" s="47" t="str">
        <x:v>stop</x:v>
      </x:c>
      <x:c r="M47" s="39" t="n">
        <x:f>(K47-F47)*G47</x:f>
        <x:v>-711.3296</x:v>
      </x:c>
      <x:c r="N47" s="41" t="n">
        <x:f>K47/F47-1</x:f>
        <x:v>-0.08091954817988078</x:v>
      </x:c>
      <x:c r="O47" s="43" t="n">
        <x:v>122700675.05</x:v>
      </x:c>
    </x:row>
    <x:row r="48">
      <x:c r="A48" s="45" t="n">
        <x:v>47</x:v>
      </x:c>
      <x:c r="B48" s="26" t="str">
        <x:v>DLR</x:v>
      </x:c>
      <x:c r="C48" s="26" t="str">
        <x:v>Unknown</x:v>
      </x:c>
      <x:c r="D48" s="31" t="n">
        <x:v>44013</x:v>
      </x:c>
      <x:c r="E48" s="31" t="n">
        <x:v>44014</x:v>
      </x:c>
      <x:c r="F48" s="33" t="n">
        <x:v>123.6635</x:v>
      </x:c>
      <x:c r="G48" s="35" t="n">
        <x:v>30</x:v>
      </x:c>
      <x:c r="H48" s="33" t="n">
        <x:v>113.7705</x:v>
      </x:c>
      <x:c r="I48" s="37" t="n">
        <x:v>30</x:v>
      </x:c>
      <x:c r="J48" s="31" t="n">
        <x:v>44102</x:v>
      </x:c>
      <x:c r="K48" s="33" t="n">
        <x:v>120.0998</x:v>
      </x:c>
      <x:c r="L48" s="47" t="str">
        <x:v>timeout</x:v>
      </x:c>
      <x:c r="M48" s="39" t="n">
        <x:f>(K48-F48)*G48</x:f>
        <x:v>-106.91099999999992</x:v>
      </x:c>
      <x:c r="N48" s="41" t="n">
        <x:f>K48/F48-1</x:f>
        <x:v>-0.028817719052105062</x:v>
      </x:c>
      <x:c r="O48" s="43" t="n">
        <x:v>335473822.7</x:v>
      </x:c>
    </x:row>
    <x:row r="49">
      <x:c r="A49" s="45" t="n">
        <x:v>48</x:v>
      </x:c>
      <x:c r="B49" s="26" t="str">
        <x:v>CRM</x:v>
      </x:c>
      <x:c r="C49" s="26" t="str">
        <x:v>Unknown</x:v>
      </x:c>
      <x:c r="D49" s="31" t="n">
        <x:v>44111</x:v>
      </x:c>
      <x:c r="E49" s="31" t="n">
        <x:v>44112</x:v>
      </x:c>
      <x:c r="F49" s="33" t="n">
        <x:v>261.291</x:v>
      </x:c>
      <x:c r="G49" s="35" t="n">
        <x:v>33</x:v>
      </x:c>
      <x:c r="H49" s="33" t="n">
        <x:v>240.3877</x:v>
      </x:c>
      <x:c r="I49" s="37" t="n">
        <x:v>70</x:v>
      </x:c>
      <x:c r="J49" s="31" t="n">
        <x:v>44130</x:v>
      </x:c>
      <x:c r="K49" s="33" t="n">
        <x:v>240.1473</x:v>
      </x:c>
      <x:c r="L49" s="47" t="str">
        <x:v>stop</x:v>
      </x:c>
      <x:c r="M49" s="39" t="n">
        <x:f>(K49-F49)*G49</x:f>
        <x:v>-697.7420999999998</x:v>
      </x:c>
      <x:c r="N49" s="41" t="n">
        <x:f>K49/F49-1</x:f>
        <x:v>-0.08092012354042044</x:v>
      </x:c>
      <x:c r="O49" s="43" t="n">
        <x:v>1231223764.5</x:v>
      </x:c>
    </x:row>
    <x:row r="50">
      <x:c r="A50" s="45" t="n">
        <x:v>49</x:v>
      </x:c>
      <x:c r="B50" s="26" t="str">
        <x:v>COF</x:v>
      </x:c>
      <x:c r="C50" s="26" t="str">
        <x:v>Unknown</x:v>
      </x:c>
      <x:c r="D50" s="31" t="n">
        <x:v>44109</x:v>
      </x:c>
      <x:c r="E50" s="31" t="n">
        <x:v>44110</x:v>
      </x:c>
      <x:c r="F50" s="33" t="n">
        <x:v>72.2021</x:v>
      </x:c>
      <x:c r="G50" s="35" t="n">
        <x:v>60</x:v>
      </x:c>
      <x:c r="H50" s="33" t="n">
        <x:v>66.426</x:v>
      </x:c>
      <x:c r="I50" s="37" t="n">
        <x:v>35</x:v>
      </x:c>
      <x:c r="J50" s="31" t="n">
        <x:v>44132</x:v>
      </x:c>
      <x:c r="K50" s="33" t="n">
        <x:v>65.4745</x:v>
      </x:c>
      <x:c r="L50" s="47" t="str">
        <x:v>stop</x:v>
      </x:c>
      <x:c r="M50" s="39" t="n">
        <x:f>(K50-F50)*G50</x:f>
        <x:v>-403.6559999999997</x:v>
      </x:c>
      <x:c r="N50" s="41" t="n">
        <x:f>K50/F50-1</x:f>
        <x:v>-0.09317734525727084</x:v>
      </x:c>
      <x:c r="O50" s="43" t="n">
        <x:v>194503004.05</x:v>
      </x:c>
    </x:row>
    <x:row r="51">
      <x:c r="A51" s="45" t="n">
        <x:v>50</x:v>
      </x:c>
      <x:c r="B51" s="26" t="str">
        <x:v>AVGO</x:v>
      </x:c>
      <x:c r="C51" s="26" t="str">
        <x:v>Unknown</x:v>
      </x:c>
      <x:c r="D51" s="31" t="n">
        <x:v>44112</x:v>
      </x:c>
      <x:c r="E51" s="31" t="n">
        <x:v>44113</x:v>
      </x:c>
      <x:c r="F51" s="33" t="n">
        <x:v>33.5635</x:v>
      </x:c>
      <x:c r="G51" s="35" t="n">
        <x:v>85</x:v>
      </x:c>
      <x:c r="H51" s="33" t="n">
        <x:v>30.8784</x:v>
      </x:c>
      <x:c r="I51" s="37" t="n">
        <x:v>67.5</x:v>
      </x:c>
      <x:c r="J51" s="31" t="n">
        <x:v>44132</x:v>
      </x:c>
      <x:c r="K51" s="33" t="n">
        <x:v>30.8475</x:v>
      </x:c>
      <x:c r="L51" s="47" t="str">
        <x:v>stop</x:v>
      </x:c>
      <x:c r="M51" s="39" t="n">
        <x:f>(K51-F51)*G51</x:f>
        <x:v>-230.8599999999998</x:v>
      </x:c>
      <x:c r="N51" s="41" t="n">
        <x:f>K51/F51-1</x:f>
        <x:v>-0.08092123884576985</x:v>
      </x:c>
      <x:c r="O51" s="43" t="n">
        <x:v>603894823.5</x:v>
      </x:c>
    </x:row>
    <x:row r="52">
      <x:c r="A52" s="45" t="n">
        <x:v>51</x:v>
      </x:c>
      <x:c r="B52" s="26" t="str">
        <x:v>ERIE</x:v>
      </x:c>
      <x:c r="C52" s="26" t="str">
        <x:v>Unknown</x:v>
      </x:c>
      <x:c r="D52" s="31" t="n">
        <x:v>44146</x:v>
      </x:c>
      <x:c r="E52" s="31" t="n">
        <x:v>44147</x:v>
      </x:c>
      <x:c r="F52" s="33" t="n">
        <x:v>223.8436</x:v>
      </x:c>
      <x:c r="G52" s="35" t="n">
        <x:v>39</x:v>
      </x:c>
      <x:c r="H52" s="33" t="n">
        <x:v>205.9361</x:v>
      </x:c>
      <x:c r="I52" s="37" t="n">
        <x:v>70</x:v>
      </x:c>
      <x:c r="J52" s="31" t="n">
        <x:v>44160</x:v>
      </x:c>
      <x:c r="K52" s="33" t="n">
        <x:v>205.7302</x:v>
      </x:c>
      <x:c r="L52" s="47" t="str">
        <x:v>stop</x:v>
      </x:c>
      <x:c r="M52" s="39" t="n">
        <x:f>(K52-F52)*G52</x:f>
        <x:v>-706.4226000000006</x:v>
      </x:c>
      <x:c r="N52" s="41" t="n">
        <x:f>K52/F52-1</x:f>
        <x:v>-0.08091989228193264</x:v>
      </x:c>
      <x:c r="O52" s="43" t="n">
        <x:v>15974189.3</x:v>
      </x:c>
    </x:row>
    <x:row r="53">
      <x:c r="A53" s="45" t="n">
        <x:v>52</x:v>
      </x:c>
      <x:c r="B53" s="26" t="str">
        <x:v>INTU</x:v>
      </x:c>
      <x:c r="C53" s="26" t="str">
        <x:v>Unknown</x:v>
      </x:c>
      <x:c r="D53" s="31" t="n">
        <x:v>44105</x:v>
      </x:c>
      <x:c r="E53" s="31" t="n">
        <x:v>44106</x:v>
      </x:c>
      <x:c r="F53" s="33" t="n">
        <x:v>315.2649</x:v>
      </x:c>
      <x:c r="G53" s="35" t="n">
        <x:v>16</x:v>
      </x:c>
      <x:c r="H53" s="33" t="n">
        <x:v>290.0438</x:v>
      </x:c>
      <x:c r="I53" s="37" t="n">
        <x:v>42</x:v>
      </x:c>
      <x:c r="J53" s="31" t="n">
        <x:v>44194</x:v>
      </x:c>
      <x:c r="K53" s="33" t="n">
        <x:v>370.3093</x:v>
      </x:c>
      <x:c r="L53" s="47" t="str">
        <x:v>timeout</x:v>
      </x:c>
      <x:c r="M53" s="39" t="n">
        <x:f>(K53-F53)*G53</x:f>
        <x:v>880.7103999999999</x:v>
      </x:c>
      <x:c r="N53" s="41" t="n">
        <x:f>K53/F53-1</x:f>
        <x:v>0.17459729896985032</x:v>
      </x:c>
      <x:c r="O53" s="43" t="n">
        <x:v>435714325.4</x:v>
      </x:c>
    </x:row>
    <x:row r="54">
      <x:c r="A54" s="45" t="n">
        <x:v>53</x:v>
      </x:c>
      <x:c r="B54" s="26" t="str">
        <x:v>TRMB</x:v>
      </x:c>
      <x:c r="C54" s="26" t="str">
        <x:v>Unknown</x:v>
      </x:c>
      <x:c r="D54" s="31" t="n">
        <x:v>44109</x:v>
      </x:c>
      <x:c r="E54" s="31" t="n">
        <x:v>44110</x:v>
      </x:c>
      <x:c r="F54" s="33" t="n">
        <x:v>50.7707</x:v>
      </x:c>
      <x:c r="G54" s="35" t="n">
        <x:v>203</x:v>
      </x:c>
      <x:c r="H54" s="33" t="n">
        <x:v>46.7091</x:v>
      </x:c>
      <x:c r="I54" s="37" t="n">
        <x:v>85</x:v>
      </x:c>
      <x:c r="J54" s="31" t="n">
        <x:v>44196</x:v>
      </x:c>
      <x:c r="K54" s="33" t="n">
        <x:v>66.4435</x:v>
      </x:c>
      <x:c r="L54" s="47" t="str">
        <x:v>timeout</x:v>
      </x:c>
      <x:c r="M54" s="39" t="n">
        <x:f>(K54-F54)*G54</x:f>
        <x:v>3181.5784000000003</x:v>
      </x:c>
      <x:c r="N54" s="41" t="n">
        <x:f>K54/F54-1</x:f>
        <x:v>0.3086977331413592</x:v>
      </x:c>
      <x:c r="O54" s="43" t="n">
        <x:v>49782567.7</x:v>
      </x:c>
    </x:row>
    <x:row r="55">
      <x:c r="A55" s="45" t="n">
        <x:v>54</x:v>
      </x:c>
      <x:c r="B55" s="26" t="str">
        <x:v>ALGN</x:v>
      </x:c>
      <x:c r="C55" s="26" t="str">
        <x:v>Unknown</x:v>
      </x:c>
      <x:c r="D55" s="31" t="n">
        <x:v>44203</x:v>
      </x:c>
      <x:c r="E55" s="31" t="n">
        <x:v>44204</x:v>
      </x:c>
      <x:c r="F55" s="33" t="n">
        <x:v>562.1916</x:v>
      </x:c>
      <x:c r="G55" s="35" t="n">
        <x:v>16</x:v>
      </x:c>
      <x:c r="H55" s="33" t="n">
        <x:v>517.2163</x:v>
      </x:c>
      <x:c r="I55" s="37" t="n">
        <x:v>70</x:v>
      </x:c>
      <x:c r="J55" s="31" t="n">
        <x:v>44221</x:v>
      </x:c>
      <x:c r="K55" s="33" t="n">
        <x:v>516.6991</x:v>
      </x:c>
      <x:c r="L55" s="47" t="str">
        <x:v>stop</x:v>
      </x:c>
      <x:c r="M55" s="39" t="n">
        <x:f>(K55-F55)*G55</x:f>
        <x:v>-727.8799999999992</x:v>
      </x:c>
      <x:c r="N55" s="41" t="n">
        <x:f>K55/F55-1</x:f>
        <x:v>-0.08091992125104674</x:v>
      </x:c>
      <x:c r="O55" s="43" t="n">
        <x:v>211618181.3</x:v>
      </x:c>
    </x:row>
    <x:row r="56">
      <x:c r="A56" s="45" t="n">
        <x:v>55</x:v>
      </x:c>
      <x:c r="B56" s="26" t="str">
        <x:v>DVA</x:v>
      </x:c>
      <x:c r="C56" s="26" t="str">
        <x:v>Unknown</x:v>
      </x:c>
      <x:c r="D56" s="31" t="n">
        <x:v>44182</x:v>
      </x:c>
      <x:c r="E56" s="31" t="n">
        <x:v>44183</x:v>
      </x:c>
      <x:c r="F56" s="33" t="n">
        <x:v>115.6555</x:v>
      </x:c>
      <x:c r="G56" s="35" t="n">
        <x:v>85</x:v>
      </x:c>
      <x:c r="H56" s="33" t="n">
        <x:v>106.4031</x:v>
      </x:c>
      <x:c r="I56" s="37" t="n">
        <x:v>77.5</x:v>
      </x:c>
      <x:c r="J56" s="31" t="n">
        <x:v>44239</x:v>
      </x:c>
      <x:c r="K56" s="33" t="n">
        <x:v>106.2967</x:v>
      </x:c>
      <x:c r="L56" s="47" t="str">
        <x:v>stop</x:v>
      </x:c>
      <x:c r="M56" s="39" t="n">
        <x:f>(K56-F56)*G56</x:f>
        <x:v>-795.4980000000002</x:v>
      </x:c>
      <x:c r="N56" s="41" t="n">
        <x:f>K56/F56-1</x:f>
        <x:v>-0.08091962768739924</x:v>
      </x:c>
      <x:c r="O56" s="43" t="n">
        <x:v>82519143.3</x:v>
      </x:c>
    </x:row>
    <x:row r="57">
      <x:c r="A57" s="45" t="n">
        <x:v>56</x:v>
      </x:c>
      <x:c r="B57" s="26" t="str">
        <x:v>WAT</x:v>
      </x:c>
      <x:c r="C57" s="26" t="str">
        <x:v>Unknown</x:v>
      </x:c>
      <x:c r="D57" s="31" t="n">
        <x:v>44167</x:v>
      </x:c>
      <x:c r="E57" s="31" t="n">
        <x:v>44168</x:v>
      </x:c>
      <x:c r="F57" s="33" t="n">
        <x:v>234.9447</x:v>
      </x:c>
      <x:c r="G57" s="35" t="n">
        <x:v>25</x:v>
      </x:c>
      <x:c r="H57" s="33" t="n">
        <x:v>216.1491</x:v>
      </x:c>
      <x:c r="I57" s="37" t="n">
        <x:v>47.5</x:v>
      </x:c>
      <x:c r="J57" s="31" t="n">
        <x:v>44258</x:v>
      </x:c>
      <x:c r="K57" s="33" t="n">
        <x:v>272.9468</x:v>
      </x:c>
      <x:c r="L57" s="47" t="str">
        <x:v>timeout</x:v>
      </x:c>
      <x:c r="M57" s="39" t="n">
        <x:f>(K57-F57)*G57</x:f>
        <x:v>950.0524999999996</x:v>
      </x:c>
      <x:c r="N57" s="41" t="n">
        <x:f>K57/F57-1</x:f>
        <x:v>0.16174912649657558</x:v>
      </x:c>
      <x:c r="O57" s="43" t="n">
        <x:v>103842140.1</x:v>
      </x:c>
    </x:row>
    <x:row r="58">
      <x:c r="A58" s="45" t="n">
        <x:v>57</x:v>
      </x:c>
      <x:c r="B58" s="26" t="str">
        <x:v>CZR</x:v>
      </x:c>
      <x:c r="C58" s="26" t="str">
        <x:v>Unknown</x:v>
      </x:c>
      <x:c r="D58" s="31" t="n">
        <x:v>44265</x:v>
      </x:c>
      <x:c r="E58" s="31" t="n">
        <x:v>44266</x:v>
      </x:c>
      <x:c r="F58" s="33" t="n">
        <x:v>100.09</x:v>
      </x:c>
      <x:c r="G58" s="35" t="n">
        <x:v>84</x:v>
      </x:c>
      <x:c r="H58" s="33" t="n">
        <x:v>92.0828</x:v>
      </x:c>
      <x:c r="I58" s="37" t="n">
        <x:v>62.2</x:v>
      </x:c>
      <x:c r="J58" s="31" t="n">
        <x:v>44273</x:v>
      </x:c>
      <x:c r="K58" s="33" t="n">
        <x:v>91.9907</x:v>
      </x:c>
      <x:c r="L58" s="47" t="str">
        <x:v>stop</x:v>
      </x:c>
      <x:c r="M58" s="39" t="n">
        <x:f>(K58-F58)*G58</x:f>
        <x:v>-680.3412</x:v>
      </x:c>
      <x:c r="N58" s="41" t="n">
        <x:f>K58/F58-1</x:f>
        <x:v>-0.08092017184533917</x:v>
      </x:c>
      <x:c r="O58" s="43" t="n">
        <x:v>209780885.6</x:v>
      </x:c>
    </x:row>
    <x:row r="59">
      <x:c r="A59" s="45" t="n">
        <x:v>58</x:v>
      </x:c>
      <x:c r="B59" s="26" t="str">
        <x:v>MSTR</x:v>
      </x:c>
      <x:c r="C59" s="26" t="str">
        <x:v>Unknown</x:v>
      </x:c>
      <x:c r="D59" s="31" t="n">
        <x:v>44193</x:v>
      </x:c>
      <x:c r="E59" s="31" t="n">
        <x:v>44194</x:v>
      </x:c>
      <x:c r="F59" s="33" t="n">
        <x:v>36.7367</x:v>
      </x:c>
      <x:c r="G59" s="35" t="n">
        <x:v>154</x:v>
      </x:c>
      <x:c r="H59" s="33" t="n">
        <x:v>33.7978</x:v>
      </x:c>
      <x:c r="I59" s="37" t="n">
        <x:v>70</x:v>
      </x:c>
      <x:c r="J59" s="31" t="n">
        <x:v>44281</x:v>
      </x:c>
      <x:c r="K59" s="33" t="n">
        <x:v>62.5374</x:v>
      </x:c>
      <x:c r="L59" s="47" t="str">
        <x:v>timeout</x:v>
      </x:c>
      <x:c r="M59" s="39" t="n">
        <x:f>(K59-F59)*G59</x:f>
        <x:v>3973.3078</x:v>
      </x:c>
      <x:c r="N59" s="41" t="n">
        <x:f>K59/F59-1</x:f>
        <x:v>0.7023140347391028</x:v>
      </x:c>
      <x:c r="O59" s="43" t="n">
        <x:v>245501394</x:v>
      </x:c>
    </x:row>
    <x:row r="60">
      <x:c r="A60" s="45" t="n">
        <x:v>59</x:v>
      </x:c>
      <x:c r="B60" s="26" t="str">
        <x:v>LRCX</x:v>
      </x:c>
      <x:c r="C60" s="26" t="str">
        <x:v>Unknown</x:v>
      </x:c>
      <x:c r="D60" s="31" t="n">
        <x:v>44287</x:v>
      </x:c>
      <x:c r="E60" s="31" t="n">
        <x:v>44291</x:v>
      </x:c>
      <x:c r="F60" s="33" t="n">
        <x:v>61.7317</x:v>
      </x:c>
      <x:c r="G60" s="35" t="n">
        <x:v>174</x:v>
      </x:c>
      <x:c r="H60" s="33" t="n">
        <x:v>56.7931</x:v>
      </x:c>
      <x:c r="I60" s="37" t="n">
        <x:v>100</x:v>
      </x:c>
      <x:c r="J60" s="31" t="n">
        <x:v>44320</x:v>
      </x:c>
      <x:c r="K60" s="33" t="n">
        <x:v>56.7363</x:v>
      </x:c>
      <x:c r="L60" s="47" t="str">
        <x:v>stop</x:v>
      </x:c>
      <x:c r="M60" s="39" t="n">
        <x:f>(K60-F60)*G60</x:f>
        <x:v>-869.1995999999994</x:v>
      </x:c>
      <x:c r="N60" s="41" t="n">
        <x:f>K60/F60-1</x:f>
        <x:v>-0.08092114748176382</x:v>
      </x:c>
      <x:c r="O60" s="43" t="n">
        <x:v>930827975</x:v>
      </x:c>
    </x:row>
    <x:row r="61">
      <x:c r="A61" s="45" t="n">
        <x:v>60</x:v>
      </x:c>
      <x:c r="B61" s="26" t="str">
        <x:v>GPN</x:v>
      </x:c>
      <x:c r="C61" s="26" t="str">
        <x:v>Unknown</x:v>
      </x:c>
      <x:c r="D61" s="31" t="n">
        <x:v>44301</x:v>
      </x:c>
      <x:c r="E61" s="31" t="n">
        <x:v>44302</x:v>
      </x:c>
      <x:c r="F61" s="33" t="n">
        <x:v>210.1299</x:v>
      </x:c>
      <x:c r="G61" s="35" t="n">
        <x:v>22</x:v>
      </x:c>
      <x:c r="H61" s="33" t="n">
        <x:v>193.3195</x:v>
      </x:c>
      <x:c r="I61" s="37" t="n">
        <x:v>36.4</x:v>
      </x:c>
      <x:c r="J61" s="31" t="n">
        <x:v>44321</x:v>
      </x:c>
      <x:c r="K61" s="33" t="n">
        <x:v>193.1262</x:v>
      </x:c>
      <x:c r="L61" s="47" t="str">
        <x:v>stop</x:v>
      </x:c>
      <x:c r="M61" s="39" t="n">
        <x:f>(K61-F61)*G61</x:f>
        <x:v>-374.0813999999996</x:v>
      </x:c>
      <x:c r="N61" s="41" t="n">
        <x:f>K61/F61-1</x:f>
        <x:v>-0.08091994523387669</x:v>
      </x:c>
      <x:c r="O61" s="43" t="n">
        <x:v>273076263.8</x:v>
      </x:c>
    </x:row>
    <x:row r="62">
      <x:c r="A62" s="45" t="n">
        <x:v>61</x:v>
      </x:c>
      <x:c r="B62" s="26" t="str">
        <x:v>PH</x:v>
      </x:c>
      <x:c r="C62" s="26" t="str">
        <x:v>Unknown</x:v>
      </x:c>
      <x:c r="D62" s="31" t="n">
        <x:v>44330</x:v>
      </x:c>
      <x:c r="E62" s="31" t="n">
        <x:v>44333</x:v>
      </x:c>
      <x:c r="F62" s="33" t="n">
        <x:v>301.9016</x:v>
      </x:c>
      <x:c r="G62" s="35" t="n">
        <x:v>31</x:v>
      </x:c>
      <x:c r="H62" s="33" t="n">
        <x:v>277.7495</x:v>
      </x:c>
      <x:c r="I62" s="37" t="n">
        <x:v>80</x:v>
      </x:c>
      <x:c r="J62" s="31" t="n">
        <x:v>44361</x:v>
      </x:c>
      <x:c r="K62" s="33" t="n">
        <x:v>277.4718</x:v>
      </x:c>
      <x:c r="L62" s="47" t="str">
        <x:v>stop</x:v>
      </x:c>
      <x:c r="M62" s="39" t="n">
        <x:f>(K62-F62)*G62</x:f>
        <x:v>-757.3238</x:v>
      </x:c>
      <x:c r="N62" s="41" t="n">
        <x:f>K62/F62-1</x:f>
        <x:v>-0.08091974338658692</x:v>
      </x:c>
      <x:c r="O62" s="43" t="n">
        <x:v>252095803.75</x:v>
      </x:c>
    </x:row>
    <x:row r="63">
      <x:c r="A63" s="45" t="n">
        <x:v>62</x:v>
      </x:c>
      <x:c r="B63" s="26" t="str">
        <x:v>CVX</x:v>
      </x:c>
      <x:c r="C63" s="26" t="str">
        <x:v>Unknown</x:v>
      </x:c>
      <x:c r="D63" s="31" t="n">
        <x:v>44362</x:v>
      </x:c>
      <x:c r="E63" s="31" t="n">
        <x:v>44363</x:v>
      </x:c>
      <x:c r="F63" s="33" t="n">
        <x:v>91.4213</x:v>
      </x:c>
      <x:c r="G63" s="35" t="n">
        <x:v>1</x:v>
      </x:c>
      <x:c r="H63" s="33" t="n">
        <x:v>84.1076</x:v>
      </x:c>
      <x:c r="I63" s="37" t="n">
        <x:v>30</x:v>
      </x:c>
      <x:c r="J63" s="31" t="n">
        <x:v>44364</x:v>
      </x:c>
      <x:c r="K63" s="33" t="n">
        <x:v>84.0235</x:v>
      </x:c>
      <x:c r="L63" s="47" t="str">
        <x:v>stop</x:v>
      </x:c>
      <x:c r="M63" s="39" t="n">
        <x:f>(K63-F63)*G63</x:f>
        <x:v>-7.397800000000004</x:v>
      </x:c>
      <x:c r="N63" s="41" t="n">
        <x:f>K63/F63-1</x:f>
        <x:v>-0.08091987315866223</x:v>
      </x:c>
      <x:c r="O63" s="43" t="n">
        <x:v>854314572.85</x:v>
      </x:c>
    </x:row>
    <x:row r="64">
      <x:c r="A64" s="45" t="n">
        <x:v>63</x:v>
      </x:c>
      <x:c r="B64" s="26" t="str">
        <x:v>WMB</x:v>
      </x:c>
      <x:c r="C64" s="26" t="str">
        <x:v>Unknown</x:v>
      </x:c>
      <x:c r="D64" s="31" t="n">
        <x:v>44281</x:v>
      </x:c>
      <x:c r="E64" s="31" t="n">
        <x:v>44284</x:v>
      </x:c>
      <x:c r="F64" s="33" t="n">
        <x:v>19.4995</x:v>
      </x:c>
      <x:c r="G64" s="35" t="n">
        <x:v>415</x:v>
      </x:c>
      <x:c r="H64" s="33" t="n">
        <x:v>17.9395</x:v>
      </x:c>
      <x:c r="I64" s="37" t="n">
        <x:v>61.8</x:v>
      </x:c>
      <x:c r="J64" s="31" t="n">
        <x:v>44370</x:v>
      </x:c>
      <x:c r="K64" s="33" t="n">
        <x:v>21.6084</x:v>
      </x:c>
      <x:c r="L64" s="47" t="str">
        <x:v>timeout</x:v>
      </x:c>
      <x:c r="M64" s="39" t="n">
        <x:f>(K64-F64)*G64</x:f>
        <x:v>875.1934999999994</x:v>
      </x:c>
      <x:c r="N64" s="41" t="n">
        <x:f>K64/F64-1</x:f>
        <x:v>0.10815149106387345</x:v>
      </x:c>
      <x:c r="O64" s="43" t="n">
        <x:v>182759990.5</x:v>
      </x:c>
    </x:row>
    <x:row r="65">
      <x:c r="A65" s="45" t="n">
        <x:v>64</x:v>
      </x:c>
      <x:c r="B65" s="26" t="str">
        <x:v>ORCL</x:v>
      </x:c>
      <x:c r="C65" s="26" t="str">
        <x:v>Unknown</x:v>
      </x:c>
      <x:c r="D65" s="31" t="n">
        <x:v>44291</x:v>
      </x:c>
      <x:c r="E65" s="31" t="n">
        <x:v>44292</x:v>
      </x:c>
      <x:c r="F65" s="33" t="n">
        <x:v>68.8187</x:v>
      </x:c>
      <x:c r="G65" s="35" t="n">
        <x:v>119</x:v>
      </x:c>
      <x:c r="H65" s="33" t="n">
        <x:v>63.3132</x:v>
      </x:c>
      <x:c r="I65" s="37" t="n">
        <x:v>62.7</x:v>
      </x:c>
      <x:c r="J65" s="31" t="n">
        <x:v>44377</x:v>
      </x:c>
      <x:c r="K65" s="33" t="n">
        <x:v>72.6972</x:v>
      </x:c>
      <x:c r="L65" s="47" t="str">
        <x:v>timeout</x:v>
      </x:c>
      <x:c r="M65" s="39" t="n">
        <x:f>(K65-F65)*G65</x:f>
        <x:v>461.5414999999986</x:v>
      </x:c>
      <x:c r="N65" s="41" t="n">
        <x:f>K65/F65-1</x:f>
        <x:v>0.0563582282141335</x:v>
      </x:c>
      <x:c r="O65" s="43" t="n">
        <x:v>1063172486.9</x:v>
      </x:c>
    </x:row>
    <x:row r="66">
      <x:c r="A66" s="45" t="n">
        <x:v>65</x:v>
      </x:c>
      <x:c r="B66" s="26" t="str">
        <x:v>CF</x:v>
      </x:c>
      <x:c r="C66" s="26" t="str">
        <x:v>Unknown</x:v>
      </x:c>
      <x:c r="D66" s="31" t="n">
        <x:v>44322</x:v>
      </x:c>
      <x:c r="E66" s="31" t="n">
        <x:v>44323</x:v>
      </x:c>
      <x:c r="F66" s="33" t="n">
        <x:v>47.4975</x:v>
      </x:c>
      <x:c r="G66" s="35" t="n">
        <x:v>112</x:v>
      </x:c>
      <x:c r="H66" s="33" t="n">
        <x:v>43.6977</x:v>
      </x:c>
      <x:c r="I66" s="37" t="n">
        <x:v>40.9</x:v>
      </x:c>
      <x:c r="J66" s="31" t="n">
        <x:v>44385</x:v>
      </x:c>
      <x:c r="K66" s="33" t="n">
        <x:v>43.654</x:v>
      </x:c>
      <x:c r="L66" s="47" t="str">
        <x:v>stop</x:v>
      </x:c>
      <x:c r="M66" s="39" t="n">
        <x:f>(K66-F66)*G66</x:f>
        <x:v>-430.47199999999987</x:v>
      </x:c>
      <x:c r="N66" s="41" t="n">
        <x:f>K66/F66-1</x:f>
        <x:v>-0.08092004842360123</x:v>
      </x:c>
      <x:c r="O66" s="43" t="n">
        <x:v>77003155.25</x:v>
      </x:c>
    </x:row>
    <x:row r="67">
      <x:c r="A67" s="45" t="n">
        <x:v>66</x:v>
      </x:c>
      <x:c r="B67" s="26" t="str">
        <x:v>HCA</x:v>
      </x:c>
      <x:c r="C67" s="26" t="str">
        <x:v>Unknown</x:v>
      </x:c>
      <x:c r="D67" s="31" t="n">
        <x:v>44302</x:v>
      </x:c>
      <x:c r="E67" s="31" t="n">
        <x:v>44305</x:v>
      </x:c>
      <x:c r="F67" s="33" t="n">
        <x:v>187.9878</x:v>
      </x:c>
      <x:c r="G67" s="35" t="n">
        <x:v>3</x:v>
      </x:c>
      <x:c r="H67" s="33" t="n">
        <x:v>172.9488</x:v>
      </x:c>
      <x:c r="I67" s="37" t="n">
        <x:v>52.7</x:v>
      </x:c>
      <x:c r="J67" s="31" t="n">
        <x:v>44391</x:v>
      </x:c>
      <x:c r="K67" s="33" t="n">
        <x:v>211.4883</x:v>
      </x:c>
      <x:c r="L67" s="47" t="str">
        <x:v>timeout</x:v>
      </x:c>
      <x:c r="M67" s="39" t="n">
        <x:f>(K67-F67)*G67</x:f>
        <x:v>70.50150000000005</x:v>
      </x:c>
      <x:c r="N67" s="41" t="n">
        <x:f>K67/F67-1</x:f>
        <x:v>0.12501077197562838</x:v>
      </x:c>
      <x:c r="O67" s="43" t="n">
        <x:v>261463905.85</x:v>
      </x:c>
    </x:row>
    <x:row r="68">
      <x:c r="A68" s="45" t="n">
        <x:v>67</x:v>
      </x:c>
      <x:c r="B68" s="26" t="str">
        <x:v>SW</x:v>
      </x:c>
      <x:c r="C68" s="26" t="str">
        <x:v>Unknown</x:v>
      </x:c>
      <x:c r="D68" s="31" t="n">
        <x:v>44321</x:v>
      </x:c>
      <x:c r="E68" s="31" t="n">
        <x:v>44322</x:v>
      </x:c>
      <x:c r="F68" s="33" t="n">
        <x:v>47.2272</x:v>
      </x:c>
      <x:c r="G68" s="35" t="n">
        <x:v>18</x:v>
      </x:c>
      <x:c r="H68" s="33" t="n">
        <x:v>43.449</x:v>
      </x:c>
      <x:c r="I68" s="37" t="n">
        <x:v>52.5</x:v>
      </x:c>
      <x:c r="J68" s="31" t="n">
        <x:v>44410</x:v>
      </x:c>
      <x:c r="K68" s="33" t="n">
        <x:v>48.5514</x:v>
      </x:c>
      <x:c r="L68" s="47" t="str">
        <x:v>timeout</x:v>
      </x:c>
      <x:c r="M68" s="39" t="n">
        <x:f>(K68-F68)*G68</x:f>
        <x:v>23.835599999999957</x:v>
      </x:c>
      <x:c r="N68" s="41" t="n">
        <x:f>K68/F68-1</x:f>
        <x:v>0.028038926720195034</x:v>
      </x:c>
      <x:c r="O68" s="43" t="n">
        <x:v>85425.55</x:v>
      </x:c>
    </x:row>
    <x:row r="69">
      <x:c r="A69" s="45" t="n">
        <x:v>68</x:v>
      </x:c>
      <x:c r="B69" s="26" t="str">
        <x:v>CAH</x:v>
      </x:c>
      <x:c r="C69" s="26" t="str">
        <x:v>Unknown</x:v>
      </x:c>
      <x:c r="D69" s="31" t="n">
        <x:v>44406</x:v>
      </x:c>
      <x:c r="E69" s="31" t="n">
        <x:v>44407</x:v>
      </x:c>
      <x:c r="F69" s="33" t="n">
        <x:v>54.104</x:v>
      </x:c>
      <x:c r="G69" s="35" t="n">
        <x:v>72</x:v>
      </x:c>
      <x:c r="H69" s="33" t="n">
        <x:v>49.7757</x:v>
      </x:c>
      <x:c r="I69" s="37" t="n">
        <x:v>30</x:v>
      </x:c>
      <x:c r="J69" s="31" t="n">
        <x:v>44413</x:v>
      </x:c>
      <x:c r="K69" s="33" t="n">
        <x:v>49.4205</x:v>
      </x:c>
      <x:c r="L69" s="47" t="str">
        <x:v>stop</x:v>
      </x:c>
      <x:c r="M69" s="39" t="n">
        <x:f>(K69-F69)*G69</x:f>
        <x:v>-337.21200000000016</x:v>
      </x:c>
      <x:c r="N69" s="41" t="n">
        <x:f>K69/F69-1</x:f>
        <x:v>-0.08656476415791814</x:v>
      </x:c>
      <x:c r="O69" s="43" t="n">
        <x:v>94934997.2</x:v>
      </x:c>
    </x:row>
    <x:row r="70">
      <x:c r="A70" s="45" t="n">
        <x:v>69</x:v>
      </x:c>
      <x:c r="B70" s="26" t="str">
        <x:v>KKR</x:v>
      </x:c>
      <x:c r="C70" s="26" t="str">
        <x:v>Unknown</x:v>
      </x:c>
      <x:c r="D70" s="31" t="n">
        <x:v>44358</x:v>
      </x:c>
      <x:c r="E70" s="31" t="n">
        <x:v>44361</x:v>
      </x:c>
      <x:c r="F70" s="33" t="n">
        <x:v>54.4744</x:v>
      </x:c>
      <x:c r="G70" s="35" t="n">
        <x:v>168</x:v>
      </x:c>
      <x:c r="H70" s="33" t="n">
        <x:v>50.1165</x:v>
      </x:c>
      <x:c r="I70" s="37" t="n">
        <x:v>70</x:v>
      </x:c>
      <x:c r="J70" s="31" t="n">
        <x:v>44447</x:v>
      </x:c>
      <x:c r="K70" s="33" t="n">
        <x:v>60.1398</x:v>
      </x:c>
      <x:c r="L70" s="47" t="str">
        <x:v>timeout</x:v>
      </x:c>
      <x:c r="M70" s="39" t="n">
        <x:f>(K70-F70)*G70</x:f>
        <x:v>951.7871999999998</x:v>
      </x:c>
      <x:c r="N70" s="41" t="n">
        <x:f>K70/F70-1</x:f>
        <x:v>0.10400114549219452</x:v>
      </x:c>
      <x:c r="O70" s="43" t="n">
        <x:v>137760436.4</x:v>
      </x:c>
    </x:row>
    <x:row r="71">
      <x:c r="A71" s="45" t="n">
        <x:v>70</x:v>
      </x:c>
      <x:c r="B71" s="26" t="str">
        <x:v>MOH</x:v>
      </x:c>
      <x:c r="C71" s="26" t="str">
        <x:v>Unknown</x:v>
      </x:c>
      <x:c r="D71" s="31" t="n">
        <x:v>44441</x:v>
      </x:c>
      <x:c r="E71" s="31" t="n">
        <x:v>44442</x:v>
      </x:c>
      <x:c r="F71" s="33" t="n">
        <x:v>271.6614</x:v>
      </x:c>
      <x:c r="G71" s="35" t="n">
        <x:v>14</x:v>
      </x:c>
      <x:c r="H71" s="33" t="n">
        <x:v>249.9285</x:v>
      </x:c>
      <x:c r="I71" s="37" t="n">
        <x:v>30</x:v>
      </x:c>
      <x:c r="J71" s="31" t="n">
        <x:v>44449</x:v>
      </x:c>
      <x:c r="K71" s="33" t="n">
        <x:v>249.6786</x:v>
      </x:c>
      <x:c r="L71" s="47" t="str">
        <x:v>stop</x:v>
      </x:c>
      <x:c r="M71" s="39" t="n">
        <x:f>(K71-F71)*G71</x:f>
        <x:v>-307.75920000000036</x:v>
      </x:c>
      <x:c r="N71" s="41" t="n">
        <x:f>K71/F71-1</x:f>
        <x:v>-0.08091985096152798</x:v>
      </x:c>
      <x:c r="O71" s="43" t="n">
        <x:v>56890452.35</x:v>
      </x:c>
    </x:row>
    <x:row r="72">
      <x:c r="A72" s="45" t="n">
        <x:v>71</x:v>
      </x:c>
      <x:c r="B72" s="26" t="str">
        <x:v>COF</x:v>
      </x:c>
      <x:c r="C72" s="26" t="str">
        <x:v>Unknown</x:v>
      </x:c>
      <x:c r="D72" s="31" t="n">
        <x:v>44414</x:v>
      </x:c>
      <x:c r="E72" s="31" t="n">
        <x:v>44417</x:v>
      </x:c>
      <x:c r="F72" s="33" t="n">
        <x:v>152.8627</x:v>
      </x:c>
      <x:c r="G72" s="35" t="n">
        <x:v>60</x:v>
      </x:c>
      <x:c r="H72" s="33" t="n">
        <x:v>140.6337</x:v>
      </x:c>
      <x:c r="I72" s="37" t="n">
        <x:v>70</x:v>
      </x:c>
      <x:c r="J72" s="31" t="n">
        <x:v>44496</x:v>
      </x:c>
      <x:c r="K72" s="33" t="n">
        <x:v>140.4931</x:v>
      </x:c>
      <x:c r="L72" s="47" t="str">
        <x:v>stop</x:v>
      </x:c>
      <x:c r="M72" s="39" t="n">
        <x:f>(K72-F72)*G72</x:f>
        <x:v>-742.1759999999995</x:v>
      </x:c>
      <x:c r="N72" s="41" t="n">
        <x:f>K72/F72-1</x:f>
        <x:v>-0.08091967497630226</x:v>
      </x:c>
      <x:c r="O72" s="43" t="n">
        <x:v>433489449.75</x:v>
      </x:c>
    </x:row>
    <x:row r="73">
      <x:c r="A73" s="45" t="n">
        <x:v>72</x:v>
      </x:c>
      <x:c r="B73" s="26" t="str">
        <x:v>GS</x:v>
      </x:c>
      <x:c r="C73" s="26" t="str">
        <x:v>Unknown</x:v>
      </x:c>
      <x:c r="D73" s="31" t="n">
        <x:v>44414</x:v>
      </x:c>
      <x:c r="E73" s="31" t="n">
        <x:v>44417</x:v>
      </x:c>
      <x:c r="F73" s="33" t="n">
        <x:v>355.1047</x:v>
      </x:c>
      <x:c r="G73" s="35" t="n">
        <x:v>25</x:v>
      </x:c>
      <x:c r="H73" s="33" t="n">
        <x:v>326.6964</x:v>
      </x:c>
      <x:c r="I73" s="37" t="n">
        <x:v>70</x:v>
      </x:c>
      <x:c r="J73" s="31" t="n">
        <x:v>44502</x:v>
      </x:c>
      <x:c r="K73" s="33" t="n">
        <x:v>372.7369</x:v>
      </x:c>
      <x:c r="L73" s="47" t="str">
        <x:v>timeout</x:v>
      </x:c>
      <x:c r="M73" s="39" t="n">
        <x:f>(K73-F73)*G73</x:f>
        <x:v>440.8050000000003</x:v>
      </x:c>
      <x:c r="N73" s="41" t="n">
        <x:f>K73/F73-1</x:f>
        <x:v>0.04965352472101903</x:v>
      </x:c>
      <x:c r="O73" s="43" t="n">
        <x:v>844166442.15</x:v>
      </x:c>
    </x:row>
    <x:row r="74">
      <x:c r="A74" s="45" t="n">
        <x:v>73</x:v>
      </x:c>
      <x:c r="B74" s="26" t="str">
        <x:v>FCX</x:v>
      </x:c>
      <x:c r="C74" s="26" t="str">
        <x:v>Unknown</x:v>
      </x:c>
      <x:c r="D74" s="31" t="n">
        <x:v>44512</x:v>
      </x:c>
      <x:c r="E74" s="31" t="n">
        <x:v>44515</x:v>
      </x:c>
      <x:c r="F74" s="33" t="n">
        <x:v>38.5785</x:v>
      </x:c>
      <x:c r="G74" s="35" t="n">
        <x:v>179</x:v>
      </x:c>
      <x:c r="H74" s="33" t="n">
        <x:v>35.4923</x:v>
      </x:c>
      <x:c r="I74" s="37" t="n">
        <x:v>53.3</x:v>
      </x:c>
      <x:c r="J74" s="31" t="n">
        <x:v>44518</x:v>
      </x:c>
      <x:c r="K74" s="33" t="n">
        <x:v>35.4568</x:v>
      </x:c>
      <x:c r="L74" s="47" t="str">
        <x:v>stop</x:v>
      </x:c>
      <x:c r="M74" s="39" t="n">
        <x:f>(K74-F74)*G74</x:f>
        <x:v>-558.7842999999995</x:v>
      </x:c>
      <x:c r="N74" s="41" t="n">
        <x:f>K74/F74-1</x:f>
        <x:v>-0.08091812797283449</x:v>
      </x:c>
      <x:c r="O74" s="43" t="n">
        <x:v>675502084.5</x:v>
      </x:c>
    </x:row>
    <x:row r="75">
      <x:c r="A75" s="45" t="n">
        <x:v>74</x:v>
      </x:c>
      <x:c r="B75" s="26" t="str">
        <x:v>TXT</x:v>
      </x:c>
      <x:c r="C75" s="26" t="str">
        <x:v>Unknown</x:v>
      </x:c>
      <x:c r="D75" s="31" t="n">
        <x:v>44503</x:v>
      </x:c>
      <x:c r="E75" s="31" t="n">
        <x:v>44504</x:v>
      </x:c>
      <x:c r="F75" s="33" t="n">
        <x:v>76.7367</x:v>
      </x:c>
      <x:c r="G75" s="35" t="n">
        <x:v>50</x:v>
      </x:c>
      <x:c r="H75" s="33" t="n">
        <x:v>70.5977</x:v>
      </x:c>
      <x:c r="I75" s="37" t="n">
        <x:v>30</x:v>
      </x:c>
      <x:c r="J75" s="31" t="n">
        <x:v>44526</x:v>
      </x:c>
      <x:c r="K75" s="33" t="n">
        <x:v>70.5271</x:v>
      </x:c>
      <x:c r="L75" s="47" t="str">
        <x:v>stop</x:v>
      </x:c>
      <x:c r="M75" s="39" t="n">
        <x:f>(K75-F75)*G75</x:f>
        <x:v>-310.47999999999973</x:v>
      </x:c>
      <x:c r="N75" s="41" t="n">
        <x:f>K75/F75-1</x:f>
        <x:v>-0.08092086315934877</x:v>
      </x:c>
      <x:c r="O75" s="43" t="n">
        <x:v>80101403.1</x:v>
      </x:c>
    </x:row>
    <x:row r="76">
      <x:c r="A76" s="45" t="n">
        <x:v>75</x:v>
      </x:c>
      <x:c r="B76" s="26" t="str">
        <x:v>ERIE</x:v>
      </x:c>
      <x:c r="C76" s="26" t="str">
        <x:v>Unknown</x:v>
      </x:c>
      <x:c r="D76" s="31" t="n">
        <x:v>44558</x:v>
      </x:c>
      <x:c r="E76" s="31" t="n">
        <x:v>44559</x:v>
      </x:c>
      <x:c r="F76" s="33" t="n">
        <x:v>179.5994</x:v>
      </x:c>
      <x:c r="G76" s="35" t="n">
        <x:v>21</x:v>
      </x:c>
      <x:c r="H76" s="33" t="n">
        <x:v>165.2315</x:v>
      </x:c>
      <x:c r="I76" s="37" t="n">
        <x:v>30</x:v>
      </x:c>
      <x:c r="J76" s="31" t="n">
        <x:v>44579</x:v>
      </x:c>
      <x:c r="K76" s="33" t="n">
        <x:v>165.0663</x:v>
      </x:c>
      <x:c r="L76" s="47" t="str">
        <x:v>stop</x:v>
      </x:c>
      <x:c r="M76" s="39" t="n">
        <x:f>(K76-F76)*G76</x:f>
        <x:v>-305.1950999999998</x:v>
      </x:c>
      <x:c r="N76" s="41" t="n">
        <x:f>K76/F76-1</x:f>
        <x:v>-0.080919535365931</x:v>
      </x:c>
      <x:c r="O76" s="43" t="n">
        <x:v>21489943.55</x:v>
      </x:c>
    </x:row>
    <x:row r="77">
      <x:c r="A77" s="45" t="n">
        <x:v>76</x:v>
      </x:c>
      <x:c r="B77" s="26" t="str">
        <x:v>ON</x:v>
      </x:c>
      <x:c r="C77" s="26" t="str">
        <x:v>Unknown</x:v>
      </x:c>
      <x:c r="D77" s="31" t="n">
        <x:v>44533</x:v>
      </x:c>
      <x:c r="E77" s="31" t="n">
        <x:v>44536</x:v>
      </x:c>
      <x:c r="F77" s="33" t="n">
        <x:v>64.114</x:v>
      </x:c>
      <x:c r="G77" s="35" t="n">
        <x:v>160</x:v>
      </x:c>
      <x:c r="H77" s="33" t="n">
        <x:v>58.9849</x:v>
      </x:c>
      <x:c r="I77" s="37" t="n">
        <x:v>80</x:v>
      </x:c>
      <x:c r="J77" s="31" t="n">
        <x:v>44580</x:v>
      </x:c>
      <x:c r="K77" s="33" t="n">
        <x:v>58.9259</x:v>
      </x:c>
      <x:c r="L77" s="47" t="str">
        <x:v>stop</x:v>
      </x:c>
      <x:c r="M77" s="39" t="n">
        <x:f>(K77-F77)*G77</x:f>
        <x:v>-830.0960000000009</x:v>
      </x:c>
      <x:c r="N77" s="41" t="n">
        <x:f>K77/F77-1</x:f>
        <x:v>-0.08091992388557889</x:v>
      </x:c>
      <x:c r="O77" s="43" t="n">
        <x:v>357611644.75</x:v>
      </x:c>
    </x:row>
    <x:row r="78">
      <x:c r="A78" s="45" t="n">
        <x:v>77</x:v>
      </x:c>
      <x:c r="B78" s="26" t="str">
        <x:v>ABT</x:v>
      </x:c>
      <x:c r="C78" s="26" t="str">
        <x:v>Unknown</x:v>
      </x:c>
      <x:c r="D78" s="31" t="n">
        <x:v>44536</x:v>
      </x:c>
      <x:c r="E78" s="31" t="n">
        <x:v>44537</x:v>
      </x:c>
      <x:c r="F78" s="33" t="n">
        <x:v>123.8137</x:v>
      </x:c>
      <x:c r="G78" s="35" t="n">
        <x:v>73</x:v>
      </x:c>
      <x:c r="H78" s="33" t="n">
        <x:v>114.29</x:v>
      </x:c>
      <x:c r="I78" s="37" t="n">
        <x:v>70</x:v>
      </x:c>
      <x:c r="J78" s="31" t="n">
        <x:v>44585</x:v>
      </x:c>
      <x:c r="K78" s="33" t="n">
        <x:v>114.1757</x:v>
      </x:c>
      <x:c r="L78" s="47" t="str">
        <x:v>stop</x:v>
      </x:c>
      <x:c r="M78" s="39" t="n">
        <x:f>(K78-F78)*G78</x:f>
        <x:v>-703.5739999999994</x:v>
      </x:c>
      <x:c r="N78" s="41" t="n">
        <x:f>K78/F78-1</x:f>
        <x:v>-0.07784275891924719</x:v>
      </x:c>
      <x:c r="O78" s="43" t="n">
        <x:v>612325059.25</x:v>
      </x:c>
    </x:row>
    <x:row r="79">
      <x:c r="A79" s="45" t="n">
        <x:v>78</x:v>
      </x:c>
      <x:c r="B79" s="26" t="str">
        <x:v>NTRS</x:v>
      </x:c>
      <x:c r="C79" s="26" t="str">
        <x:v>Unknown</x:v>
      </x:c>
      <x:c r="D79" s="31" t="n">
        <x:v>44600</x:v>
      </x:c>
      <x:c r="E79" s="31" t="n">
        <x:v>44601</x:v>
      </x:c>
      <x:c r="F79" s="33" t="n">
        <x:v>110.7907</x:v>
      </x:c>
      <x:c r="G79" s="35" t="n">
        <x:v>94</x:v>
      </x:c>
      <x:c r="H79" s="33" t="n">
        <x:v>101.9274</x:v>
      </x:c>
      <x:c r="I79" s="37" t="n">
        <x:v>100</x:v>
      </x:c>
      <x:c r="J79" s="31" t="n">
        <x:v>44615</x:v>
      </x:c>
      <x:c r="K79" s="33" t="n">
        <x:v>101.8255</x:v>
      </x:c>
      <x:c r="L79" s="47" t="str">
        <x:v>stop</x:v>
      </x:c>
      <x:c r="M79" s="39" t="n">
        <x:f>(K79-F79)*G79</x:f>
        <x:v>-842.7287999999996</x:v>
      </x:c>
      <x:c r="N79" s="41" t="n">
        <x:f>K79/F79-1</x:f>
        <x:v>-0.08092014943492543</x:v>
      </x:c>
      <x:c r="O79" s="43" t="n">
        <x:v>122790391.35</x:v>
      </x:c>
    </x:row>
    <x:row r="80">
      <x:c r="A80" s="45" t="n">
        <x:v>79</x:v>
      </x:c>
      <x:c r="B80" s="26" t="str">
        <x:v>HPE</x:v>
      </x:c>
      <x:c r="C80" s="26" t="str">
        <x:v>Unknown</x:v>
      </x:c>
      <x:c r="D80" s="31" t="n">
        <x:v>44594</x:v>
      </x:c>
      <x:c r="E80" s="31" t="n">
        <x:v>44595</x:v>
      </x:c>
      <x:c r="F80" s="33" t="n">
        <x:v>15.1151</x:v>
      </x:c>
      <x:c r="G80" s="35" t="n">
        <x:v>439</x:v>
      </x:c>
      <x:c r="H80" s="33" t="n">
        <x:v>13.9059</x:v>
      </x:c>
      <x:c r="I80" s="37" t="n">
        <x:v>52.5</x:v>
      </x:c>
      <x:c r="J80" s="31" t="n">
        <x:v>44617</x:v>
      </x:c>
      <x:c r="K80" s="33" t="n">
        <x:v>13.892</x:v>
      </x:c>
      <x:c r="L80" s="47" t="str">
        <x:v>stop</x:v>
      </x:c>
      <x:c r="M80" s="39" t="n">
        <x:f>(K80-F80)*G80</x:f>
        <x:v>-536.9409000000003</x:v>
      </x:c>
      <x:c r="N80" s="41" t="n">
        <x:f>K80/F80-1</x:f>
        <x:v>-0.08091908091908095</x:v>
      </x:c>
      <x:c r="O80" s="43" t="n">
        <x:v>173175026.75</x:v>
      </x:c>
    </x:row>
    <x:row r="81">
      <x:c r="A81" s="45" t="n">
        <x:v>80</x:v>
      </x:c>
      <x:c r="B81" s="26" t="str">
        <x:v>GDDY</x:v>
      </x:c>
      <x:c r="C81" s="26" t="str">
        <x:v>Unknown</x:v>
      </x:c>
      <x:c r="D81" s="31" t="n">
        <x:v>44655</x:v>
      </x:c>
      <x:c r="E81" s="31" t="n">
        <x:v>44656</x:v>
      </x:c>
      <x:c r="F81" s="33" t="n">
        <x:v>87.137</x:v>
      </x:c>
      <x:c r="G81" s="35" t="n">
        <x:v>102</x:v>
      </x:c>
      <x:c r="H81" s="33" t="n">
        <x:v>80.1661</x:v>
      </x:c>
      <x:c r="I81" s="37" t="n">
        <x:v>70</x:v>
      </x:c>
      <x:c r="J81" s="31" t="n">
        <x:v>44683</x:v>
      </x:c>
      <x:c r="K81" s="33" t="n">
        <x:v>80.0859</x:v>
      </x:c>
      <x:c r="L81" s="47" t="str">
        <x:v>stop</x:v>
      </x:c>
      <x:c r="M81" s="39" t="n">
        <x:f>(K81-F81)*G81</x:f>
        <x:v>-719.2122000000005</x:v>
      </x:c>
      <x:c r="N81" s="41" t="n">
        <x:f>K81/F81-1</x:f>
        <x:v>-0.08091970116024194</x:v>
      </x:c>
      <x:c r="O81" s="43" t="n">
        <x:v>135230061.75</x:v>
      </x:c>
    </x:row>
    <x:row r="82">
      <x:c r="A82" s="45" t="n">
        <x:v>81</x:v>
      </x:c>
      <x:c r="B82" s="26" t="str">
        <x:v>VICI</x:v>
      </x:c>
      <x:c r="C82" s="26" t="str">
        <x:v>Unknown</x:v>
      </x:c>
      <x:c r="D82" s="31" t="n">
        <x:v>44669</x:v>
      </x:c>
      <x:c r="E82" s="31" t="n">
        <x:v>44670</x:v>
      </x:c>
      <x:c r="F82" s="33" t="n">
        <x:v>24.2943</x:v>
      </x:c>
      <x:c r="G82" s="35" t="n">
        <x:v>233</x:v>
      </x:c>
      <x:c r="H82" s="33" t="n">
        <x:v>22.3507</x:v>
      </x:c>
      <x:c r="I82" s="37" t="n">
        <x:v>43.3</x:v>
      </x:c>
      <x:c r="J82" s="31" t="n">
        <x:v>44690</x:v>
      </x:c>
      <x:c r="K82" s="33" t="n">
        <x:v>22.3283</x:v>
      </x:c>
      <x:c r="L82" s="47" t="str">
        <x:v>stop</x:v>
      </x:c>
      <x:c r="M82" s="39" t="n">
        <x:f>(K82-F82)*G82</x:f>
        <x:v>-458.07800000000026</x:v>
      </x:c>
      <x:c r="N82" s="41" t="n">
        <x:f>K82/F82-1</x:f>
        <x:v>-0.0809243320449653</x:v>
      </x:c>
      <x:c r="O82" s="43" t="n">
        <x:v>160673193.45</x:v>
      </x:c>
    </x:row>
    <x:row r="83">
      <x:c r="A83" s="45" t="n">
        <x:v>82</x:v>
      </x:c>
      <x:c r="B83" s="26" t="str">
        <x:v>LYB</x:v>
      </x:c>
      <x:c r="C83" s="26" t="str">
        <x:v>Unknown</x:v>
      </x:c>
      <x:c r="D83" s="31" t="n">
        <x:v>44631</x:v>
      </x:c>
      <x:c r="E83" s="31" t="n">
        <x:v>44634</x:v>
      </x:c>
      <x:c r="F83" s="33" t="n">
        <x:v>78.7487</x:v>
      </x:c>
      <x:c r="G83" s="35" t="n">
        <x:v>61</x:v>
      </x:c>
      <x:c r="H83" s="33" t="n">
        <x:v>72.4488</x:v>
      </x:c>
      <x:c r="I83" s="37" t="n">
        <x:v>38.8</x:v>
      </x:c>
      <x:c r="J83" s="31" t="n">
        <x:v>44720</x:v>
      </x:c>
      <x:c r="K83" s="33" t="n">
        <x:v>88.5014</x:v>
      </x:c>
      <x:c r="L83" s="47" t="str">
        <x:v>timeout</x:v>
      </x:c>
      <x:c r="M83" s="39" t="n">
        <x:f>(K83-F83)*G83</x:f>
        <x:v>594.9147000000003</x:v>
      </x:c>
      <x:c r="N83" s="41" t="n">
        <x:f>K83/F83-1</x:f>
        <x:v>0.12384585396330361</x:v>
      </x:c>
      <x:c r="O83" s="43" t="n">
        <x:v>167836468.9</x:v>
      </x:c>
    </x:row>
    <x:row r="84">
      <x:c r="A84" s="45" t="n">
        <x:v>83</x:v>
      </x:c>
      <x:c r="B84" s="26" t="str">
        <x:v>PM</x:v>
      </x:c>
      <x:c r="C84" s="26" t="str">
        <x:v>Unknown</x:v>
      </x:c>
      <x:c r="D84" s="31" t="n">
        <x:v>44706</x:v>
      </x:c>
      <x:c r="E84" s="31" t="n">
        <x:v>44707</x:v>
      </x:c>
      <x:c r="F84" s="33" t="n">
        <x:v>91.2612</x:v>
      </x:c>
      <x:c r="G84" s="35" t="n">
        <x:v>43</x:v>
      </x:c>
      <x:c r="H84" s="33" t="n">
        <x:v>83.9603</x:v>
      </x:c>
      <x:c r="I84" s="37" t="n">
        <x:v>30</x:v>
      </x:c>
      <x:c r="J84" s="31" t="n">
        <x:v>44722</x:v>
      </x:c>
      <x:c r="K84" s="33" t="n">
        <x:v>83.8763</x:v>
      </x:c>
      <x:c r="L84" s="47" t="str">
        <x:v>stop</x:v>
      </x:c>
      <x:c r="M84" s="39" t="n">
        <x:f>(K84-F84)*G84</x:f>
        <x:v>-317.55070000000006</x:v>
      </x:c>
      <x:c r="N84" s="41" t="n">
        <x:f>K84/F84-1</x:f>
        <x:v>-0.08092047880150599</x:v>
      </x:c>
      <x:c r="O84" s="43" t="n">
        <x:v>487841210.3</x:v>
      </x:c>
    </x:row>
    <x:row r="85">
      <x:c r="A85" s="45" t="n">
        <x:v>84</x:v>
      </x:c>
      <x:c r="B85" s="26" t="str">
        <x:v>EQT</x:v>
      </x:c>
      <x:c r="C85" s="26" t="str">
        <x:v>Unknown</x:v>
      </x:c>
      <x:c r="D85" s="31" t="n">
        <x:v>44641</x:v>
      </x:c>
      <x:c r="E85" s="31" t="n">
        <x:v>44642</x:v>
      </x:c>
      <x:c r="F85" s="33" t="n">
        <x:v>27.057</x:v>
      </x:c>
      <x:c r="G85" s="35" t="n">
        <x:v>323</x:v>
      </x:c>
      <x:c r="H85" s="33" t="n">
        <x:v>24.8925</x:v>
      </x:c>
      <x:c r="I85" s="37" t="n">
        <x:v>70</x:v>
      </x:c>
      <x:c r="J85" s="31" t="n">
        <x:v>44728</x:v>
      </x:c>
      <x:c r="K85" s="33" t="n">
        <x:v>38.7912</x:v>
      </x:c>
      <x:c r="L85" s="47" t="str">
        <x:v>timeout</x:v>
      </x:c>
      <x:c r="M85" s="39" t="n">
        <x:f>(K85-F85)*G85</x:f>
        <x:v>3790.1466000000014</x:v>
      </x:c>
      <x:c r="N85" s="41" t="n">
        <x:f>K85/F85-1</x:f>
        <x:v>0.43368444395165784</x:v>
      </x:c>
      <x:c r="O85" s="43" t="n">
        <x:v>250786393.95</x:v>
      </x:c>
    </x:row>
    <x:row r="86">
      <x:c r="A86" s="45" t="n">
        <x:v>85</x:v>
      </x:c>
      <x:c r="B86" s="26" t="str">
        <x:v>LLY</x:v>
      </x:c>
      <x:c r="C86" s="26" t="str">
        <x:v>Unknown</x:v>
      </x:c>
      <x:c r="D86" s="31" t="n">
        <x:v>44736</x:v>
      </x:c>
      <x:c r="E86" s="31" t="n">
        <x:v>44739</x:v>
      </x:c>
      <x:c r="F86" s="33" t="n">
        <x:v>314.5042</x:v>
      </x:c>
      <x:c r="G86" s="35" t="n">
        <x:v>28</x:v>
      </x:c>
      <x:c r="H86" s="33" t="n">
        <x:v>289.3439</x:v>
      </x:c>
      <x:c r="I86" s="37" t="n">
        <x:v>70</x:v>
      </x:c>
      <x:c r="J86" s="31" t="n">
        <x:v>44781</x:v>
      </x:c>
      <x:c r="K86" s="33" t="n">
        <x:v>289.0546</x:v>
      </x:c>
      <x:c r="L86" s="47" t="str">
        <x:v>stop</x:v>
      </x:c>
      <x:c r="M86" s="39" t="n">
        <x:f>(K86-F86)*G86</x:f>
        <x:v>-712.5888000000009</x:v>
      </x:c>
      <x:c r="N86" s="41" t="n">
        <x:f>K86/F86-1</x:f>
        <x:v>-0.0809197460638047</x:v>
      </x:c>
      <x:c r="O86" s="43" t="n">
        <x:v>1038029528.6</x:v>
      </x:c>
    </x:row>
    <x:row r="87">
      <x:c r="A87" s="45" t="n">
        <x:v>86</x:v>
      </x:c>
      <x:c r="B87" s="26" t="str">
        <x:v>GILD</x:v>
      </x:c>
      <x:c r="C87" s="26" t="str">
        <x:v>Unknown</x:v>
      </x:c>
      <x:c r="D87" s="31" t="n">
        <x:v>44816</x:v>
      </x:c>
      <x:c r="E87" s="31" t="n">
        <x:v>44817</x:v>
      </x:c>
      <x:c r="F87" s="33" t="n">
        <x:v>59.5395</x:v>
      </x:c>
      <x:c r="G87" s="35" t="n">
        <x:v>64</x:v>
      </x:c>
      <x:c r="H87" s="33" t="n">
        <x:v>54.7763</x:v>
      </x:c>
      <x:c r="I87" s="37" t="n">
        <x:v>30</x:v>
      </x:c>
      <x:c r="J87" s="31" t="n">
        <x:v>44902</x:v>
      </x:c>
      <x:c r="K87" s="33" t="n">
        <x:v>78.4814</x:v>
      </x:c>
      <x:c r="L87" s="47" t="str">
        <x:v>timeout</x:v>
      </x:c>
      <x:c r="M87" s="39" t="n">
        <x:f>(K87-F87)*G87</x:f>
        <x:v>1212.2815999999998</x:v>
      </x:c>
      <x:c r="N87" s="41" t="n">
        <x:f>K87/F87-1</x:f>
        <x:v>0.3181400582806373</x:v>
      </x:c>
      <x:c r="O87" s="43" t="n">
        <x:v>407512941.55</x:v>
      </x:c>
    </x:row>
    <x:row r="88">
      <x:c r="A88" s="45" t="n">
        <x:v>87</x:v>
      </x:c>
      <x:c r="B88" s="26" t="str">
        <x:v>ROL</x:v>
      </x:c>
      <x:c r="C88" s="26" t="str">
        <x:v>Unknown</x:v>
      </x:c>
      <x:c r="D88" s="31" t="n">
        <x:v>44860</x:v>
      </x:c>
      <x:c r="E88" s="31" t="n">
        <x:v>44861</x:v>
      </x:c>
      <x:c r="F88" s="33" t="n">
        <x:v>38.3783</x:v>
      </x:c>
      <x:c r="G88" s="35" t="n">
        <x:v>99</x:v>
      </x:c>
      <x:c r="H88" s="33" t="n">
        <x:v>35.3081</x:v>
      </x:c>
      <x:c r="I88" s="37" t="n">
        <x:v>30</x:v>
      </x:c>
      <x:c r="J88" s="31" t="n">
        <x:v>44911</x:v>
      </x:c>
      <x:c r="K88" s="33" t="n">
        <x:v>35.2728</x:v>
      </x:c>
      <x:c r="L88" s="47" t="str">
        <x:v>stop</x:v>
      </x:c>
      <x:c r="M88" s="39" t="n">
        <x:f>(K88-F88)*G88</x:f>
        <x:v>-307.44450000000063</x:v>
      </x:c>
      <x:c r="N88" s="41" t="n">
        <x:f>K88/F88-1</x:f>
        <x:v>-0.08091812300180068</x:v>
      </x:c>
      <x:c r="O88" s="43" t="n">
        <x:v>48968262.2</x:v>
      </x:c>
    </x:row>
    <x:row r="89">
      <x:c r="A89" s="45" t="n">
        <x:v>88</x:v>
      </x:c>
      <x:c r="B89" s="26" t="str">
        <x:v>BSX</x:v>
      </x:c>
      <x:c r="C89" s="26" t="str">
        <x:v>Unknown</x:v>
      </x:c>
      <x:c r="D89" s="31" t="n">
        <x:v>44875</x:v>
      </x:c>
      <x:c r="E89" s="31" t="n">
        <x:v>44876</x:v>
      </x:c>
      <x:c r="F89" s="33" t="n">
        <x:v>43.7937</x:v>
      </x:c>
      <x:c r="G89" s="35" t="n">
        <x:v>108</x:v>
      </x:c>
      <x:c r="H89" s="33" t="n">
        <x:v>40.2903</x:v>
      </x:c>
      <x:c r="I89" s="37" t="n">
        <x:v>37</x:v>
      </x:c>
      <x:c r="J89" s="31" t="n">
        <x:v>44966</x:v>
      </x:c>
      <x:c r="K89" s="33" t="n">
        <x:v>47.7222</x:v>
      </x:c>
      <x:c r="L89" s="47" t="str">
        <x:v>timeout</x:v>
      </x:c>
      <x:c r="M89" s="39" t="n">
        <x:f>(K89-F89)*G89</x:f>
        <x:v>424.27799999999996</x:v>
      </x:c>
      <x:c r="N89" s="41" t="n">
        <x:f>K89/F89-1</x:f>
        <x:v>0.08970468355037364</x:v>
      </x:c>
      <x:c r="O89" s="43" t="n">
        <x:v>362297945.95</x:v>
      </x:c>
    </x:row>
    <x:row r="90">
      <x:c r="A90" s="45" t="n">
        <x:v>89</x:v>
      </x:c>
      <x:c r="B90" s="26" t="str">
        <x:v>MLM</x:v>
      </x:c>
      <x:c r="C90" s="26" t="str">
        <x:v>Unknown</x:v>
      </x:c>
      <x:c r="D90" s="31" t="n">
        <x:v>44972</x:v>
      </x:c>
      <x:c r="E90" s="31" t="n">
        <x:v>44973</x:v>
      </x:c>
      <x:c r="F90" s="33" t="n">
        <x:v>367.8174</x:v>
      </x:c>
      <x:c r="G90" s="35" t="n">
        <x:v>24</x:v>
      </x:c>
      <x:c r="H90" s="33" t="n">
        <x:v>338.3921</x:v>
      </x:c>
      <x:c r="I90" s="37" t="n">
        <x:v>70</x:v>
      </x:c>
      <x:c r="J90" s="31" t="n">
        <x:v>44995</x:v>
      </x:c>
      <x:c r="K90" s="33" t="n">
        <x:v>338.0537</x:v>
      </x:c>
      <x:c r="L90" s="47" t="str">
        <x:v>stop</x:v>
      </x:c>
      <x:c r="M90" s="39" t="n">
        <x:f>(K90-F90)*G90</x:f>
        <x:v>-714.3288000000007</x:v>
      </x:c>
      <x:c r="N90" s="41" t="n">
        <x:f>K90/F90-1</x:f>
        <x:v>-0.08091977160406227</x:v>
      </x:c>
      <x:c r="O90" s="43" t="n">
        <x:v>126907587.15</x:v>
      </x:c>
    </x:row>
    <x:row r="91">
      <x:c r="A91" s="45" t="n">
        <x:v>90</x:v>
      </x:c>
      <x:c r="B91" s="26" t="str">
        <x:v>PM</x:v>
      </x:c>
      <x:c r="C91" s="26" t="str">
        <x:v>Unknown</x:v>
      </x:c>
      <x:c r="D91" s="31" t="n">
        <x:v>44917</x:v>
      </x:c>
      <x:c r="E91" s="31" t="n">
        <x:v>44918</x:v>
      </x:c>
      <x:c r="F91" s="33" t="n">
        <x:v>87.6676</x:v>
      </x:c>
      <x:c r="G91" s="35" t="n">
        <x:v>121</x:v>
      </x:c>
      <x:c r="H91" s="33" t="n">
        <x:v>80.6542</x:v>
      </x:c>
      <x:c r="I91" s="37" t="n">
        <x:v>85</x:v>
      </x:c>
      <x:c r="J91" s="31" t="n">
        <x:v>45008</x:v>
      </x:c>
      <x:c r="K91" s="33" t="n">
        <x:v>80.5735</x:v>
      </x:c>
      <x:c r="L91" s="47" t="str">
        <x:v>stop</x:v>
      </x:c>
      <x:c r="M91" s="39" t="n">
        <x:f>(K91-F91)*G91</x:f>
        <x:v>-858.3860999999997</x:v>
      </x:c>
      <x:c r="N91" s="41" t="n">
        <x:f>K91/F91-1</x:f>
        <x:v>-0.08092043126537052</x:v>
      </x:c>
      <x:c r="O91" s="43" t="n">
        <x:v>562327918.4</x:v>
      </x:c>
    </x:row>
    <x:row r="92">
      <x:c r="A92" s="45" t="n">
        <x:v>91</x:v>
      </x:c>
      <x:c r="B92" s="26" t="str">
        <x:v>RTX</x:v>
      </x:c>
      <x:c r="C92" s="26" t="str">
        <x:v>Unknown</x:v>
      </x:c>
      <x:c r="D92" s="31" t="n">
        <x:v>45033</x:v>
      </x:c>
      <x:c r="E92" s="31" t="n">
        <x:v>45034</x:v>
      </x:c>
      <x:c r="F92" s="33" t="n">
        <x:v>97.2471</x:v>
      </x:c>
      <x:c r="G92" s="35" t="n">
        <x:v>65</x:v>
      </x:c>
      <x:c r="H92" s="33" t="n">
        <x:v>89.54</x:v>
      </x:c>
      <x:c r="I92" s="37" t="n">
        <x:v>50</x:v>
      </x:c>
      <x:c r="J92" s="31" t="n">
        <x:v>45050</x:v>
      </x:c>
      <x:c r="K92" s="33" t="n">
        <x:v>89.4505</x:v>
      </x:c>
      <x:c r="L92" s="47" t="str">
        <x:v>stop</x:v>
      </x:c>
      <x:c r="M92" s="39" t="n">
        <x:f>(K92-F92)*G92</x:f>
        <x:v>-506.7789999999999</x:v>
      </x:c>
      <x:c r="N92" s="41" t="n">
        <x:f>K92/F92-1</x:f>
        <x:v>-0.08017308485291585</x:v>
      </x:c>
      <x:c r="O92" s="43" t="n">
        <x:v>367149368.15</x:v>
      </x:c>
    </x:row>
    <x:row r="93">
      <x:c r="A93" s="45" t="n">
        <x:v>92</x:v>
      </x:c>
      <x:c r="B93" s="26" t="str">
        <x:v>ORLY</x:v>
      </x:c>
      <x:c r="C93" s="26" t="str">
        <x:v>Unknown</x:v>
      </x:c>
      <x:c r="D93" s="31" t="n">
        <x:v>45028</x:v>
      </x:c>
      <x:c r="E93" s="31" t="n">
        <x:v>45029</x:v>
      </x:c>
      <x:c r="F93" s="33" t="n">
        <x:v>58.7487</x:v>
      </x:c>
      <x:c r="G93" s="35" t="n">
        <x:v>151</x:v>
      </x:c>
      <x:c r="H93" s="33" t="n">
        <x:v>54.0488</x:v>
      </x:c>
      <x:c r="I93" s="37" t="n">
        <x:v>70</x:v>
      </x:c>
      <x:c r="J93" s="31" t="n">
        <x:v>45118</x:v>
      </x:c>
      <x:c r="K93" s="33" t="n">
        <x:v>64.4255</x:v>
      </x:c>
      <x:c r="L93" s="47" t="str">
        <x:v>timeout</x:v>
      </x:c>
      <x:c r="M93" s="39" t="n">
        <x:f>(K93-F93)*G93</x:f>
        <x:v>857.1968</x:v>
      </x:c>
      <x:c r="N93" s="41" t="n">
        <x:f>K93/F93-1</x:f>
        <x:v>0.09662852114174436</x:v>
      </x:c>
      <x:c r="O93" s="43" t="n">
        <x:v>303075514.5</x:v>
      </x:c>
    </x:row>
    <x:row r="94">
      <x:c r="A94" s="45" t="n">
        <x:v>93</x:v>
      </x:c>
      <x:c r="B94" s="26" t="str">
        <x:v>CRM</x:v>
      </x:c>
      <x:c r="C94" s="26" t="str">
        <x:v>Unknown</x:v>
      </x:c>
      <x:c r="D94" s="31" t="n">
        <x:v>45118</x:v>
      </x:c>
      <x:c r="E94" s="31" t="n">
        <x:v>45119</x:v>
      </x:c>
      <x:c r="F94" s="33" t="n">
        <x:v>219.4592</x:v>
      </x:c>
      <x:c r="G94" s="35" t="n">
        <x:v>17</x:v>
      </x:c>
      <x:c r="H94" s="33" t="n">
        <x:v>201.9025</x:v>
      </x:c>
      <x:c r="I94" s="37" t="n">
        <x:v>30</x:v>
      </x:c>
      <x:c r="J94" s="31" t="n">
        <x:v>45155</x:v>
      </x:c>
      <x:c r="K94" s="33" t="n">
        <x:v>201.7006</x:v>
      </x:c>
      <x:c r="L94" s="47" t="str">
        <x:v>stop</x:v>
      </x:c>
      <x:c r="M94" s="39" t="n">
        <x:f>(K94-F94)*G94</x:f>
        <x:v>-301.8962</x:v>
      </x:c>
      <x:c r="N94" s="41" t="n">
        <x:f>K94/F94-1</x:f>
        <x:v>-0.08091982473279768</x:v>
      </x:c>
      <x:c r="O94" s="43" t="n">
        <x:v>1498124498.05</x:v>
      </x:c>
    </x:row>
    <x:row r="95">
      <x:c r="A95" s="45" t="n">
        <x:v>94</x:v>
      </x:c>
      <x:c r="B95" s="26" t="str">
        <x:v>CEG</x:v>
      </x:c>
      <x:c r="C95" s="26" t="str">
        <x:v>Unknown</x:v>
      </x:c>
      <x:c r="D95" s="31" t="n">
        <x:v>45183</x:v>
      </x:c>
      <x:c r="E95" s="31" t="n">
        <x:v>45184</x:v>
      </x:c>
      <x:c r="F95" s="33" t="n">
        <x:v>110.9208</x:v>
      </x:c>
      <x:c r="G95" s="35" t="n">
        <x:v>34</x:v>
      </x:c>
      <x:c r="H95" s="33" t="n">
        <x:v>102.0471</x:v>
      </x:c>
      <x:c r="I95" s="37" t="n">
        <x:v>30</x:v>
      </x:c>
      <x:c r="J95" s="31" t="n">
        <x:v>45201</x:v>
      </x:c>
      <x:c r="K95" s="33" t="n">
        <x:v>101.9451</x:v>
      </x:c>
      <x:c r="L95" s="47" t="str">
        <x:v>stop</x:v>
      </x:c>
      <x:c r="M95" s="39" t="n">
        <x:f>(K95-F95)*G95</x:f>
        <x:v>-305.17380000000014</x:v>
      </x:c>
      <x:c r="N95" s="41" t="n">
        <x:f>K95/F95-1</x:f>
        <x:v>-0.08091989960404178</x:v>
      </x:c>
      <x:c r="O95" s="43" t="n">
        <x:v>163251422.2</x:v>
      </x:c>
    </x:row>
    <x:row r="96">
      <x:c r="A96" s="45" t="n">
        <x:v>95</x:v>
      </x:c>
      <x:c r="B96" s="26" t="str">
        <x:v>BKNG</x:v>
      </x:c>
      <x:c r="C96" s="26" t="str">
        <x:v>Unknown</x:v>
      </x:c>
      <x:c r="D96" s="31" t="n">
        <x:v>45118</x:v>
      </x:c>
      <x:c r="E96" s="31" t="n">
        <x:v>45119</x:v>
      </x:c>
      <x:c r="F96" s="33" t="n">
        <x:v>2761.809</x:v>
      </x:c>
      <x:c r="G96" s="35" t="n">
        <x:v>1</x:v>
      </x:c>
      <x:c r="H96" s="33" t="n">
        <x:v>2563.06</x:v>
      </x:c>
      <x:c r="I96" s="37" t="n">
        <x:v>30</x:v>
      </x:c>
      <x:c r="J96" s="31" t="n">
        <x:v>45204</x:v>
      </x:c>
      <x:c r="K96" s="33" t="n">
        <x:v>2987.0899</x:v>
      </x:c>
      <x:c r="L96" s="47" t="str">
        <x:v>timeout</x:v>
      </x:c>
      <x:c r="M96" s="39" t="n">
        <x:f>(K96-F96)*G96</x:f>
        <x:v>225.28089999999975</x:v>
      </x:c>
      <x:c r="N96" s="41" t="n">
        <x:f>K96/F96-1</x:f>
        <x:v>0.08157005064434197</x:v>
      </x:c>
      <x:c r="O96" s="43" t="n">
        <x:v>816215430</x:v>
      </x:c>
    </x:row>
    <x:row r="97">
      <x:c r="A97" s="45" t="n">
        <x:v>96</x:v>
      </x:c>
      <x:c r="B97" s="26" t="str">
        <x:v>ACGL</x:v>
      </x:c>
      <x:c r="C97" s="26" t="str">
        <x:v>Unknown</x:v>
      </x:c>
      <x:c r="D97" s="31" t="n">
        <x:v>45230</x:v>
      </x:c>
      <x:c r="E97" s="31" t="n">
        <x:v>45231</x:v>
      </x:c>
      <x:c r="F97" s="33" t="n">
        <x:v>83.053</x:v>
      </x:c>
      <x:c r="G97" s="35" t="n">
        <x:v>107</x:v>
      </x:c>
      <x:c r="H97" s="33" t="n">
        <x:v>76.4087</x:v>
      </x:c>
      <x:c r="I97" s="37" t="n">
        <x:v>70</x:v>
      </x:c>
      <x:c r="J97" s="31" t="n">
        <x:v>45266</x:v>
      </x:c>
      <x:c r="K97" s="33" t="n">
        <x:v>76.3323</x:v>
      </x:c>
      <x:c r="L97" s="47" t="str">
        <x:v>stop</x:v>
      </x:c>
      <x:c r="M97" s="39" t="n">
        <x:f>(K97-F97)*G97</x:f>
        <x:v>-719.1148999999994</x:v>
      </x:c>
      <x:c r="N97" s="41" t="n">
        <x:f>K97/F97-1</x:f>
        <x:v>-0.08092061695543806</x:v>
      </x:c>
      <x:c r="O97" s="43" t="n">
        <x:v>149527413.7</x:v>
      </x:c>
    </x:row>
    <x:row r="98">
      <x:c r="A98" s="45" t="n">
        <x:v>97</x:v>
      </x:c>
      <x:c r="B98" s="26" t="str">
        <x:v>STLD</x:v>
      </x:c>
      <x:c r="C98" s="26" t="str">
        <x:v>Unknown</x:v>
      </x:c>
      <x:c r="D98" s="31" t="n">
        <x:v>45275</x:v>
      </x:c>
      <x:c r="E98" s="31" t="n">
        <x:v>45278</x:v>
      </x:c>
      <x:c r="F98" s="33" t="n">
        <x:v>124.5144</x:v>
      </x:c>
      <x:c r="G98" s="35" t="n">
        <x:v>50</x:v>
      </x:c>
      <x:c r="H98" s="33" t="n">
        <x:v>114.5532</x:v>
      </x:c>
      <x:c r="I98" s="37" t="n">
        <x:v>50</x:v>
      </x:c>
      <x:c r="J98" s="31" t="n">
        <x:v>45289</x:v>
      </x:c>
      <x:c r="K98" s="33" t="n">
        <x:v>114.4386</x:v>
      </x:c>
      <x:c r="L98" s="47" t="str">
        <x:v>stop</x:v>
      </x:c>
      <x:c r="M98" s="39" t="n">
        <x:f>(K98-F98)*G98</x:f>
        <x:v>-503.7900000000001</x:v>
      </x:c>
      <x:c r="N98" s="41" t="n">
        <x:f>K98/F98-1</x:f>
        <x:v>-0.08092076097222489</x:v>
      </x:c>
      <x:c r="O98" s="43" t="n">
        <x:v>173597280</x:v>
      </x:c>
    </x:row>
    <x:row r="99">
      <x:c r="A99" s="45" t="n">
        <x:v>98</x:v>
      </x:c>
      <x:c r="B99" s="26" t="str">
        <x:v>WEC</x:v>
      </x:c>
      <x:c r="C99" s="26" t="str">
        <x:v>Unknown</x:v>
      </x:c>
      <x:c r="D99" s="31" t="n">
        <x:v>45293</x:v>
      </x:c>
      <x:c r="E99" s="31" t="n">
        <x:v>45294</x:v>
      </x:c>
      <x:c r="F99" s="33" t="n">
        <x:v>79.9999</x:v>
      </x:c>
      <x:c r="G99" s="35" t="n">
        <x:v>47</x:v>
      </x:c>
      <x:c r="H99" s="33" t="n">
        <x:v>73.5999</x:v>
      </x:c>
      <x:c r="I99" s="37" t="n">
        <x:v>30</x:v>
      </x:c>
      <x:c r="J99" s="31" t="n">
        <x:v>45309</x:v>
      </x:c>
      <x:c r="K99" s="33" t="n">
        <x:v>73.5263</x:v>
      </x:c>
      <x:c r="L99" s="47" t="str">
        <x:v>stop</x:v>
      </x:c>
      <x:c r="M99" s="39" t="n">
        <x:f>(K99-F99)*G99</x:f>
        <x:v>-304.25919999999957</x:v>
      </x:c>
      <x:c r="N99" s="41" t="n">
        <x:f>K99/F99-1</x:f>
        <x:v>-0.08092010115012627</x:v>
      </x:c>
      <x:c r="O99" s="43" t="n">
        <x:v>165342819.15</x:v>
      </x:c>
    </x:row>
    <x:row r="100">
      <x:c r="A100" s="45" t="n">
        <x:v>99</x:v>
      </x:c>
      <x:c r="B100" s="26" t="str">
        <x:v>PLTR</x:v>
      </x:c>
      <x:c r="C100" s="26" t="str">
        <x:v>Unknown</x:v>
      </x:c>
      <x:c r="D100" s="31" t="n">
        <x:v>45357</x:v>
      </x:c>
      <x:c r="E100" s="31" t="n">
        <x:v>45358</x:v>
      </x:c>
      <x:c r="F100" s="33" t="n">
        <x:v>27.037</x:v>
      </x:c>
      <x:c r="G100" s="35" t="n">
        <x:v>139</x:v>
      </x:c>
      <x:c r="H100" s="33" t="n">
        <x:v>24.874</x:v>
      </x:c>
      <x:c r="I100" s="37" t="n">
        <x:v>30</x:v>
      </x:c>
      <x:c r="J100" s="31" t="n">
        <x:v>45363</x:v>
      </x:c>
      <x:c r="K100" s="33" t="n">
        <x:v>24.8491</x:v>
      </x:c>
      <x:c r="L100" s="47" t="str">
        <x:v>stop</x:v>
      </x:c>
      <x:c r="M100" s="39" t="n">
        <x:f>(K100-F100)*G100</x:f>
        <x:v>-304.11809999999986</x:v>
      </x:c>
      <x:c r="N100" s="41" t="n">
        <x:f>K100/F100-1</x:f>
        <x:v>-0.0809224396197803</x:v>
      </x:c>
      <x:c r="O100" s="43" t="n">
        <x:v>2361954177.85</x:v>
      </x:c>
    </x:row>
    <x:row r="101">
      <x:c r="A101" s="45" t="n">
        <x:v>100</x:v>
      </x:c>
      <x:c r="B101" s="26" t="str">
        <x:v>MPWR</x:v>
      </x:c>
      <x:c r="C101" s="26" t="str">
        <x:v>Unknown</x:v>
      </x:c>
      <x:c r="D101" s="31" t="n">
        <x:v>45358</x:v>
      </x:c>
      <x:c r="E101" s="31" t="n">
        <x:v>45359</x:v>
      </x:c>
      <x:c r="F101" s="33" t="n">
        <x:v>759.6189</x:v>
      </x:c>
      <x:c r="G101" s="35" t="n">
        <x:v>10</x:v>
      </x:c>
      <x:c r="H101" s="33" t="n">
        <x:v>698.8494</x:v>
      </x:c>
      <x:c r="I101" s="37" t="n">
        <x:v>65</x:v>
      </x:c>
      <x:c r="J101" s="31" t="n">
        <x:v>45364</x:v>
      </x:c>
      <x:c r="K101" s="33" t="n">
        <x:v>698.1506</x:v>
      </x:c>
      <x:c r="L101" s="47" t="str">
        <x:v>stop</x:v>
      </x:c>
      <x:c r="M101" s="39" t="n">
        <x:f>(K101-F101)*G101</x:f>
        <x:v>-614.683</x:v>
      </x:c>
      <x:c r="N101" s="41" t="n">
        <x:f>K101/F101-1</x:f>
        <x:v>-0.08091991918579167</x:v>
      </x:c>
      <x:c r="O101" s="43" t="n">
        <x:v>445696461.5</x:v>
      </x:c>
    </x:row>
    <x:row r="102">
      <x:c r="A102" s="45" t="n">
        <x:v>101</x:v>
      </x:c>
      <x:c r="B102" s="26" t="str">
        <x:v>VZ</x:v>
      </x:c>
      <x:c r="C102" s="26" t="str">
        <x:v>Unknown</x:v>
      </x:c>
      <x:c r="D102" s="31" t="n">
        <x:v>45294</x:v>
      </x:c>
      <x:c r="E102" s="31" t="n">
        <x:v>45295</x:v>
      </x:c>
      <x:c r="F102" s="33" t="n">
        <x:v>34.2442</x:v>
      </x:c>
      <x:c r="G102" s="35" t="n">
        <x:v>257</x:v>
      </x:c>
      <x:c r="H102" s="33" t="n">
        <x:v>31.5047</x:v>
      </x:c>
      <x:c r="I102" s="37" t="n">
        <x:v>70</x:v>
      </x:c>
      <x:c r="J102" s="31" t="n">
        <x:v>45384</x:v>
      </x:c>
      <x:c r="K102" s="33" t="n">
        <x:v>37.0529</x:v>
      </x:c>
      <x:c r="L102" s="47" t="str">
        <x:v>timeout</x:v>
      </x:c>
      <x:c r="M102" s="39" t="n">
        <x:f>(K102-F102)*G102</x:f>
        <x:v>721.8359000000005</x:v>
      </x:c>
      <x:c r="N102" s="41" t="n">
        <x:f>K102/F102-1</x:f>
        <x:v>0.0820197288883957</x:v>
      </x:c>
      <x:c r="O102" s="43" t="n">
        <x:v>695997135.6</x:v>
      </x:c>
    </x:row>
    <x:row r="103">
      <x:c r="A103" s="45" t="n">
        <x:v>102</x:v>
      </x:c>
      <x:c r="B103" s="26" t="str">
        <x:v>TROW</x:v>
      </x:c>
      <x:c r="C103" s="26" t="str">
        <x:v>Unknown</x:v>
      </x:c>
      <x:c r="D103" s="31" t="n">
        <x:v>45350</x:v>
      </x:c>
      <x:c r="E103" s="31" t="n">
        <x:v>45351</x:v>
      </x:c>
      <x:c r="F103" s="33" t="n">
        <x:v>102.9729</x:v>
      </x:c>
      <x:c r="G103" s="35" t="n">
        <x:v>51</x:v>
      </x:c>
      <x:c r="H103" s="33" t="n">
        <x:v>94.735</x:v>
      </x:c>
      <x:c r="I103" s="37" t="n">
        <x:v>42.5</x:v>
      </x:c>
      <x:c r="J103" s="31" t="n">
        <x:v>45436</x:v>
      </x:c>
      <x:c r="K103" s="33" t="n">
        <x:v>107.5823</x:v>
      </x:c>
      <x:c r="L103" s="47" t="str">
        <x:v>timeout</x:v>
      </x:c>
      <x:c r="M103" s="39" t="n">
        <x:f>(K103-F103)*G103</x:f>
        <x:v>235.07940000000042</x:v>
      </x:c>
      <x:c r="N103" s="41" t="n">
        <x:f>K103/F103-1</x:f>
        <x:v>0.04476323382171432</x:v>
      </x:c>
      <x:c r="O103" s="43" t="n">
        <x:v>143465938.65</x:v>
      </x:c>
    </x:row>
    <x:row r="104">
      <x:c r="A104" s="45" t="n">
        <x:v>103</x:v>
      </x:c>
      <x:c r="B104" s="26" t="str">
        <x:v>CAG</x:v>
      </x:c>
      <x:c r="C104" s="26" t="str">
        <x:v>Unknown</x:v>
      </x:c>
      <x:c r="D104" s="31" t="n">
        <x:v>45406</x:v>
      </x:c>
      <x:c r="E104" s="31" t="n">
        <x:v>45407</x:v>
      </x:c>
      <x:c r="F104" s="33" t="n">
        <x:v>27.9179</x:v>
      </x:c>
      <x:c r="G104" s="35" t="n">
        <x:v>134</x:v>
      </x:c>
      <x:c r="H104" s="33" t="n">
        <x:v>25.6845</x:v>
      </x:c>
      <x:c r="I104" s="37" t="n">
        <x:v>30</x:v>
      </x:c>
      <x:c r="J104" s="31" t="n">
        <x:v>45455</x:v>
      </x:c>
      <x:c r="K104" s="33" t="n">
        <x:v>25.6588</x:v>
      </x:c>
      <x:c r="L104" s="47" t="str">
        <x:v>stop</x:v>
      </x:c>
      <x:c r="M104" s="39" t="n">
        <x:f>(K104-F104)*G104</x:f>
        <x:v>-302.7194</x:v>
      </x:c>
      <x:c r="N104" s="41" t="n">
        <x:f>K104/F104-1</x:f>
        <x:v>-0.08091941012755255</x:v>
      </x:c>
      <x:c r="O104" s="43" t="n">
        <x:v>154432929.15</x:v>
      </x:c>
    </x:row>
    <x:row r="105">
      <x:c r="A105" s="45" t="n">
        <x:v>104</x:v>
      </x:c>
      <x:c r="B105" s="26" t="str">
        <x:v>FCX</x:v>
      </x:c>
      <x:c r="C105" s="26" t="str">
        <x:v>Unknown</x:v>
      </x:c>
      <x:c r="D105" s="31" t="n">
        <x:v>45408</x:v>
      </x:c>
      <x:c r="E105" s="31" t="n">
        <x:v>45411</x:v>
      </x:c>
      <x:c r="F105" s="33" t="n">
        <x:v>50.1</x:v>
      </x:c>
      <x:c r="G105" s="35" t="n">
        <x:v>174</x:v>
      </x:c>
      <x:c r="H105" s="33" t="n">
        <x:v>46.092</x:v>
      </x:c>
      <x:c r="I105" s="37" t="n">
        <x:v>70</x:v>
      </x:c>
      <x:c r="J105" s="31" t="n">
        <x:v>45460</x:v>
      </x:c>
      <x:c r="K105" s="33" t="n">
        <x:v>46.0459</x:v>
      </x:c>
      <x:c r="L105" s="47" t="str">
        <x:v>stop</x:v>
      </x:c>
      <x:c r="M105" s="39" t="n">
        <x:f>(K105-F105)*G105</x:f>
        <x:v>-705.4133999999997</x:v>
      </x:c>
      <x:c r="N105" s="41" t="n">
        <x:f>K105/F105-1</x:f>
        <x:v>-0.0809201596806387</x:v>
      </x:c>
      <x:c r="O105" s="43" t="n">
        <x:v>823543953.95</x:v>
      </x:c>
    </x:row>
    <x:row r="106">
      <x:c r="A106" s="45" t="n">
        <x:v>105</x:v>
      </x:c>
      <x:c r="B106" s="26" t="str">
        <x:v>ROL</x:v>
      </x:c>
      <x:c r="C106" s="26" t="str">
        <x:v>Unknown</x:v>
      </x:c>
      <x:c r="D106" s="31" t="n">
        <x:v>45476</x:v>
      </x:c>
      <x:c r="E106" s="31" t="n">
        <x:v>45478</x:v>
      </x:c>
      <x:c r="F106" s="33" t="n">
        <x:v>49.4194</x:v>
      </x:c>
      <x:c r="G106" s="35" t="n">
        <x:v>176</x:v>
      </x:c>
      <x:c r="H106" s="33" t="n">
        <x:v>45.4658</x:v>
      </x:c>
      <x:c r="I106" s="37" t="n">
        <x:v>70</x:v>
      </x:c>
      <x:c r="J106" s="31" t="n">
        <x:v>45499</x:v>
      </x:c>
      <x:c r="K106" s="33" t="n">
        <x:v>45.4203</x:v>
      </x:c>
      <x:c r="L106" s="47" t="str">
        <x:v>stop</x:v>
      </x:c>
      <x:c r="M106" s="39" t="n">
        <x:f>(K106-F106)*G106</x:f>
        <x:v>-703.841600000001</x:v>
      </x:c>
      <x:c r="N106" s="41" t="n">
        <x:f>K106/F106-1</x:f>
        <x:v>-0.08092166234312848</x:v>
      </x:c>
      <x:c r="O106" s="43" t="n">
        <x:v>70200300.45</x:v>
      </x:c>
    </x:row>
    <x:row r="107">
      <x:c r="A107" s="45" t="n">
        <x:v>106</x:v>
      </x:c>
      <x:c r="B107" s="26" t="str">
        <x:v>EME</x:v>
      </x:c>
      <x:c r="C107" s="26" t="str">
        <x:v>Unknown</x:v>
      </x:c>
      <x:c r="D107" s="31" t="n">
        <x:v>45418</x:v>
      </x:c>
      <x:c r="E107" s="31" t="n">
        <x:v>45419</x:v>
      </x:c>
      <x:c r="F107" s="33" t="n">
        <x:v>370.4701</x:v>
      </x:c>
      <x:c r="G107" s="35" t="n">
        <x:v>23</x:v>
      </x:c>
      <x:c r="H107" s="33" t="n">
        <x:v>340.8325</x:v>
      </x:c>
      <x:c r="I107" s="37" t="n">
        <x:v>70</x:v>
      </x:c>
      <x:c r="J107" s="31" t="n">
        <x:v>45506</x:v>
      </x:c>
      <x:c r="K107" s="33" t="n">
        <x:v>340.4917</x:v>
      </x:c>
      <x:c r="L107" s="47" t="str">
        <x:v>stop</x:v>
      </x:c>
      <x:c r="M107" s="39" t="n">
        <x:f>(K107-F107)*G107</x:f>
        <x:v>-689.5032000000006</x:v>
      </x:c>
      <x:c r="N107" s="41" t="n">
        <x:f>K107/F107-1</x:f>
        <x:v>-0.080919890701031</x:v>
      </x:c>
      <x:c r="O107" s="43" t="n">
        <x:v>165959040.65</x:v>
      </x:c>
    </x:row>
    <x:row r="108">
      <x:c r="A108" s="45" t="n">
        <x:v>107</x:v>
      </x:c>
      <x:c r="B108" s="26" t="str">
        <x:v>STX</x:v>
      </x:c>
      <x:c r="C108" s="26" t="str">
        <x:v>Unknown</x:v>
      </x:c>
      <x:c r="D108" s="31" t="n">
        <x:v>45453</x:v>
      </x:c>
      <x:c r="E108" s="31" t="n">
        <x:v>45454</x:v>
      </x:c>
      <x:c r="F108" s="33" t="n">
        <x:v>95.2151</x:v>
      </x:c>
      <x:c r="G108" s="35" t="n">
        <x:v>91</x:v>
      </x:c>
      <x:c r="H108" s="33" t="n">
        <x:v>87.5979</x:v>
      </x:c>
      <x:c r="I108" s="37" t="n">
        <x:v>70</x:v>
      </x:c>
      <x:c r="J108" s="31" t="n">
        <x:v>45509</x:v>
      </x:c>
      <x:c r="K108" s="33" t="n">
        <x:v>87.5103</x:v>
      </x:c>
      <x:c r="L108" s="47" t="str">
        <x:v>stop</x:v>
      </x:c>
      <x:c r="M108" s="39" t="n">
        <x:f>(K108-F108)*G108</x:f>
        <x:v>-701.1368000000006</x:v>
      </x:c>
      <x:c r="N108" s="41" t="n">
        <x:f>K108/F108-1</x:f>
        <x:v>-0.08091993811905895</x:v>
      </x:c>
      <x:c r="O108" s="43" t="n">
        <x:v>223081936</x:v>
      </x:c>
    </x:row>
    <x:row r="109">
      <x:c r="A109" s="45" t="n">
        <x:v>108</x:v>
      </x:c>
      <x:c r="B109" s="26" t="str">
        <x:v>CMI</x:v>
      </x:c>
      <x:c r="C109" s="26" t="str">
        <x:v>Unknown</x:v>
      </x:c>
      <x:c r="D109" s="31" t="n">
        <x:v>45505</x:v>
      </x:c>
      <x:c r="E109" s="31" t="n">
        <x:v>45506</x:v>
      </x:c>
      <x:c r="F109" s="33" t="n">
        <x:v>294.8145</x:v>
      </x:c>
      <x:c r="G109" s="35" t="n">
        <x:v>12</x:v>
      </x:c>
      <x:c r="H109" s="33" t="n">
        <x:v>271.2294</x:v>
      </x:c>
      <x:c r="I109" s="37" t="n">
        <x:v>30</x:v>
      </x:c>
      <x:c r="J109" s="31" t="n">
        <x:v>45509</x:v>
      </x:c>
      <x:c r="K109" s="33" t="n">
        <x:v>270.9582</x:v>
      </x:c>
      <x:c r="L109" s="47" t="str">
        <x:v>stop</x:v>
      </x:c>
      <x:c r="M109" s="39" t="n">
        <x:f>(K109-F109)*G109</x:f>
        <x:v>-286.2756000000004</x:v>
      </x:c>
      <x:c r="N109" s="41" t="n">
        <x:f>K109/F109-1</x:f>
        <x:v>-0.08091969696198809</x:v>
      </x:c>
      <x:c r="O109" s="43" t="n">
        <x:v>235206528.3</x:v>
      </x:c>
    </x:row>
    <x:row r="110">
      <x:c r="A110" s="45" t="n">
        <x:v>109</x:v>
      </x:c>
      <x:c r="B110" s="26" t="str">
        <x:v>REGN</x:v>
      </x:c>
      <x:c r="C110" s="26" t="str">
        <x:v>Unknown</x:v>
      </x:c>
      <x:c r="D110" s="31" t="n">
        <x:v>45512</x:v>
      </x:c>
      <x:c r="E110" s="31" t="n">
        <x:v>45513</x:v>
      </x:c>
      <x:c r="F110" s="33" t="n">
        <x:v>1107.9669</x:v>
      </x:c>
      <x:c r="G110" s="35" t="n">
        <x:v>7</x:v>
      </x:c>
      <x:c r="H110" s="33" t="n">
        <x:v>1019.3295</x:v>
      </x:c>
      <x:c r="I110" s="37" t="n">
        <x:v>70</x:v>
      </x:c>
      <x:c r="J110" s="31" t="n">
        <x:v>45559</x:v>
      </x:c>
      <x:c r="K110" s="33" t="n">
        <x:v>1018.3102</x:v>
      </x:c>
      <x:c r="L110" s="47" t="str">
        <x:v>stop</x:v>
      </x:c>
      <x:c r="M110" s="39" t="n">
        <x:f>(K110-F110)*G110</x:f>
        <x:v>-627.5968999999992</x:v>
      </x:c>
      <x:c r="N110" s="41" t="n">
        <x:f>K110/F110-1</x:f>
        <x:v>-0.08092001665392701</x:v>
      </x:c>
      <x:c r="O110" s="43" t="n">
        <x:v>504284738.7</x:v>
      </x:c>
    </x:row>
    <x:row r="111">
      <x:c r="A111" s="45" t="n">
        <x:v>110</x:v>
      </x:c>
      <x:c r="B111" s="26" t="str">
        <x:v>BX</x:v>
      </x:c>
      <x:c r="C111" s="26" t="str">
        <x:v>Unknown</x:v>
      </x:c>
      <x:c r="D111" s="31" t="n">
        <x:v>45488</x:v>
      </x:c>
      <x:c r="E111" s="31" t="n">
        <x:v>45489</x:v>
      </x:c>
      <x:c r="F111" s="33" t="n">
        <x:v>126.6966</x:v>
      </x:c>
      <x:c r="G111" s="35" t="n">
        <x:v>41</x:v>
      </x:c>
      <x:c r="H111" s="33" t="n">
        <x:v>116.5608</x:v>
      </x:c>
      <x:c r="I111" s="37" t="n">
        <x:v>100</x:v>
      </x:c>
      <x:c r="J111" s="31" t="n">
        <x:v>45574</x:v>
      </x:c>
      <x:c r="K111" s="33" t="n">
        <x:v>141.0488</x:v>
      </x:c>
      <x:c r="L111" s="47" t="str">
        <x:v>timeout</x:v>
      </x:c>
      <x:c r="M111" s="39" t="n">
        <x:f>(K111-F111)*G111</x:f>
        <x:v>588.4401999999999</x:v>
      </x:c>
      <x:c r="N111" s="41" t="n">
        <x:f>K111/F111-1</x:f>
        <x:v>0.11328007223556114</x:v>
      </x:c>
      <x:c r="O111" s="43" t="n">
        <x:v>318579568</x:v>
      </x:c>
    </x:row>
    <x:row r="112">
      <x:c r="A112" s="45" t="n">
        <x:v>111</x:v>
      </x:c>
      <x:c r="B112" s="26" t="str">
        <x:v>UBER</x:v>
      </x:c>
      <x:c r="C112" s="26" t="str">
        <x:v>Unknown</x:v>
      </x:c>
      <x:c r="D112" s="31" t="n">
        <x:v>45576</x:v>
      </x:c>
      <x:c r="E112" s="31" t="n">
        <x:v>45579</x:v>
      </x:c>
      <x:c r="F112" s="33" t="n">
        <x:v>85.7256</x:v>
      </x:c>
      <x:c r="G112" s="35" t="n">
        <x:v>13</x:v>
      </x:c>
      <x:c r="H112" s="33" t="n">
        <x:v>78.8676</x:v>
      </x:c>
      <x:c r="I112" s="37" t="n">
        <x:v>77.5</x:v>
      </x:c>
      <x:c r="J112" s="31" t="n">
        <x:v>45583</x:v>
      </x:c>
      <x:c r="K112" s="33" t="n">
        <x:v>78.7887</x:v>
      </x:c>
      <x:c r="L112" s="47" t="str">
        <x:v>stop</x:v>
      </x:c>
      <x:c r="M112" s="39" t="n">
        <x:f>(K112-F112)*G112</x:f>
        <x:v>-90.17969999999993</x:v>
      </x:c>
      <x:c r="N112" s="41" t="n">
        <x:f>K112/F112-1</x:f>
        <x:v>-0.08091981858394681</x:v>
      </x:c>
      <x:c r="O112" s="43" t="n">
        <x:v>1199481494.7</x:v>
      </x:c>
    </x:row>
    <x:row r="113">
      <x:c r="A113" s="45" t="n">
        <x:v>112</x:v>
      </x:c>
      <x:c r="B113" s="26" t="str">
        <x:v>RKT</x:v>
      </x:c>
      <x:c r="C113" s="26" t="str">
        <x:v>Unknown</x:v>
      </x:c>
      <x:c r="D113" s="31" t="n">
        <x:v>45509</x:v>
      </x:c>
      <x:c r="E113" s="31" t="n">
        <x:v>45510</x:v>
      </x:c>
      <x:c r="F113" s="33" t="n">
        <x:v>16.8468</x:v>
      </x:c>
      <x:c r="G113" s="35" t="n">
        <x:v>215</x:v>
      </x:c>
      <x:c r="H113" s="33" t="n">
        <x:v>15.4991</x:v>
      </x:c>
      <x:c r="I113" s="37" t="n">
        <x:v>30</x:v>
      </x:c>
      <x:c r="J113" s="31" t="n">
        <x:v>45586</x:v>
      </x:c>
      <x:c r="K113" s="33" t="n">
        <x:v>15.4836</x:v>
      </x:c>
      <x:c r="L113" s="47" t="str">
        <x:v>stop</x:v>
      </x:c>
      <x:c r="M113" s="39" t="n">
        <x:f>(K113-F113)*G113</x:f>
        <x:v>-293.0880000000006</x:v>
      </x:c>
      <x:c r="N113" s="41" t="n">
        <x:f>K113/F113-1</x:f>
        <x:v>-0.08091744426241199</x:v>
      </x:c>
      <x:c r="O113" s="43" t="n">
        <x:v>56356971.8</x:v>
      </x:c>
    </x:row>
    <x:row r="114">
      <x:c r="A114" s="45" t="n">
        <x:v>113</x:v>
      </x:c>
      <x:c r="B114" s="26" t="str">
        <x:v>STE</x:v>
      </x:c>
      <x:c r="C114" s="26" t="str">
        <x:v>Unknown</x:v>
      </x:c>
      <x:c r="D114" s="31" t="n">
        <x:v>45534</x:v>
      </x:c>
      <x:c r="E114" s="31" t="n">
        <x:v>45538</x:v>
      </x:c>
      <x:c r="F114" s="33" t="n">
        <x:v>237.3871</x:v>
      </x:c>
      <x:c r="G114" s="35" t="n">
        <x:v>21</x:v>
      </x:c>
      <x:c r="H114" s="33" t="n">
        <x:v>218.3962</x:v>
      </x:c>
      <x:c r="I114" s="37" t="n">
        <x:v>42.5</x:v>
      </x:c>
      <x:c r="J114" s="31" t="n">
        <x:v>45588</x:v>
      </x:c>
      <x:c r="K114" s="33" t="n">
        <x:v>218.1778</x:v>
      </x:c>
      <x:c r="L114" s="47" t="str">
        <x:v>stop</x:v>
      </x:c>
      <x:c r="M114" s="39" t="n">
        <x:f>(K114-F114)*G114</x:f>
        <x:v>-403.39530000000025</x:v>
      </x:c>
      <x:c r="N114" s="41" t="n">
        <x:f>K114/F114-1</x:f>
        <x:v>-0.08091972984210183</x:v>
      </x:c>
      <x:c r="O114" s="43" t="n">
        <x:v>98600014</x:v>
      </x:c>
    </x:row>
    <x:row r="115">
      <x:c r="A115" s="45" t="n">
        <x:v>114</x:v>
      </x:c>
      <x:c r="B115" s="26" t="str">
        <x:v>SJM</x:v>
      </x:c>
      <x:c r="C115" s="26" t="str">
        <x:v>Unknown</x:v>
      </x:c>
      <x:c r="D115" s="31" t="n">
        <x:v>45562</x:v>
      </x:c>
      <x:c r="E115" s="31" t="n">
        <x:v>45565</x:v>
      </x:c>
      <x:c r="F115" s="33" t="n">
        <x:v>115.095</x:v>
      </x:c>
      <x:c r="G115" s="35" t="n">
        <x:v>26</x:v>
      </x:c>
      <x:c r="H115" s="33" t="n">
        <x:v>105.8874</x:v>
      </x:c>
      <x:c r="I115" s="37" t="n">
        <x:v>30</x:v>
      </x:c>
      <x:c r="J115" s="31" t="n">
        <x:v>45608</x:v>
      </x:c>
      <x:c r="K115" s="33" t="n">
        <x:v>105.7815</x:v>
      </x:c>
      <x:c r="L115" s="47" t="str">
        <x:v>stop</x:v>
      </x:c>
      <x:c r="M115" s="39" t="n">
        <x:f>(K115-F115)*G115</x:f>
        <x:v>-242.15100000000012</x:v>
      </x:c>
      <x:c r="N115" s="41" t="n">
        <x:f>K115/F115-1</x:f>
        <x:v>-0.08092010947478179</x:v>
      </x:c>
      <x:c r="O115" s="43" t="n">
        <x:v>115465610.7</x:v>
      </x:c>
    </x:row>
    <x:row r="116">
      <x:c r="A116" s="45" t="n">
        <x:v>115</x:v>
      </x:c>
      <x:c r="B116" s="26" t="str">
        <x:v>ILMN</x:v>
      </x:c>
      <x:c r="C116" s="26" t="str">
        <x:v>Unknown</x:v>
      </x:c>
      <x:c r="D116" s="31" t="n">
        <x:v>45595</x:v>
      </x:c>
      <x:c r="E116" s="31" t="n">
        <x:v>45596</x:v>
      </x:c>
      <x:c r="F116" s="33" t="n">
        <x:v>145.8457</x:v>
      </x:c>
      <x:c r="G116" s="35" t="n">
        <x:v>29</x:v>
      </x:c>
      <x:c r="H116" s="33" t="n">
        <x:v>134.178</x:v>
      </x:c>
      <x:c r="I116" s="37" t="n">
        <x:v>35</x:v>
      </x:c>
      <x:c r="J116" s="31" t="n">
        <x:v>45611</x:v>
      </x:c>
      <x:c r="K116" s="33" t="n">
        <x:v>134.0438</x:v>
      </x:c>
      <x:c r="L116" s="47" t="str">
        <x:v>stop</x:v>
      </x:c>
      <x:c r="M116" s="39" t="n">
        <x:f>(K116-F116)*G116</x:f>
        <x:v>-342.2550999999997</x:v>
      </x:c>
      <x:c r="N116" s="41" t="n">
        <x:f>K116/F116-1</x:f>
        <x:v>-0.08092045223136501</x:v>
      </x:c>
      <x:c r="O116" s="43" t="n">
        <x:v>244322611.75</x:v>
      </x:c>
    </x:row>
    <x:row r="117">
      <x:c r="A117" s="45" t="n">
        <x:v>116</x:v>
      </x:c>
      <x:c r="B117" s="26" t="str">
        <x:v>INCY</x:v>
      </x:c>
      <x:c r="C117" s="26" t="str">
        <x:v>Unknown</x:v>
      </x:c>
      <x:c r="D117" s="31" t="n">
        <x:v>45533</x:v>
      </x:c>
      <x:c r="E117" s="31" t="n">
        <x:v>45534</x:v>
      </x:c>
      <x:c r="F117" s="33" t="n">
        <x:v>65.9759</x:v>
      </x:c>
      <x:c r="G117" s="35" t="n">
        <x:v>69</x:v>
      </x:c>
      <x:c r="H117" s="33" t="n">
        <x:v>60.6978</x:v>
      </x:c>
      <x:c r="I117" s="37" t="n">
        <x:v>37.1</x:v>
      </x:c>
      <x:c r="J117" s="31" t="n">
        <x:v>45621</x:v>
      </x:c>
      <x:c r="K117" s="33" t="n">
        <x:v>72.2677</x:v>
      </x:c>
      <x:c r="L117" s="47" t="str">
        <x:v>timeout</x:v>
      </x:c>
      <x:c r="M117" s="39" t="n">
        <x:f>(K117-F117)*G117</x:f>
        <x:v>434.13420000000065</x:v>
      </x:c>
      <x:c r="N117" s="41" t="n">
        <x:f>K117/F117-1</x:f>
        <x:v>0.09536512575046352</x:v>
      </x:c>
      <x:c r="O117" s="43" t="n">
        <x:v>112352810.8</x:v>
      </x:c>
    </x:row>
    <x:row r="118">
      <x:c r="A118" s="45" t="n">
        <x:v>117</x:v>
      </x:c>
      <x:c r="B118" s="26" t="str">
        <x:v>D</x:v>
      </x:c>
      <x:c r="C118" s="26" t="str">
        <x:v>Unknown</x:v>
      </x:c>
      <x:c r="D118" s="31" t="n">
        <x:v>45538</x:v>
      </x:c>
      <x:c r="E118" s="31" t="n">
        <x:v>45539</x:v>
      </x:c>
      <x:c r="F118" s="33" t="n">
        <x:v>53.9639</x:v>
      </x:c>
      <x:c r="G118" s="35" t="n">
        <x:v>68</x:v>
      </x:c>
      <x:c r="H118" s="33" t="n">
        <x:v>49.6468</x:v>
      </x:c>
      <x:c r="I118" s="37" t="n">
        <x:v>30</x:v>
      </x:c>
      <x:c r="J118" s="31" t="n">
        <x:v>45623</x:v>
      </x:c>
      <x:c r="K118" s="33" t="n">
        <x:v>56.1738</x:v>
      </x:c>
      <x:c r="L118" s="47" t="str">
        <x:v>timeout</x:v>
      </x:c>
      <x:c r="M118" s="39" t="n">
        <x:f>(K118-F118)*G118</x:f>
        <x:v>150.27319999999983</x:v>
      </x:c>
      <x:c r="N118" s="41" t="n">
        <x:f>K118/F118-1</x:f>
        <x:v>0.04095145087734564</x:v>
      </x:c>
      <x:c r="O118" s="43" t="n">
        <x:v>174159859.2</x:v>
      </x:c>
    </x:row>
    <x:row r="119">
      <x:c r="A119" s="45" t="n">
        <x:v>118</x:v>
      </x:c>
      <x:c r="B119" s="26" t="str">
        <x:v>ORCL</x:v>
      </x:c>
      <x:c r="C119" s="26" t="str">
        <x:v>Unknown</x:v>
      </x:c>
      <x:c r="D119" s="31" t="n">
        <x:v>45545</x:v>
      </x:c>
      <x:c r="E119" s="31" t="n">
        <x:v>45546</x:v>
      </x:c>
      <x:c r="F119" s="33" t="n">
        <x:v>154.6345</x:v>
      </x:c>
      <x:c r="G119" s="35" t="n">
        <x:v>2</x:v>
      </x:c>
      <x:c r="H119" s="33" t="n">
        <x:v>142.2637</x:v>
      </x:c>
      <x:c r="I119" s="37" t="n">
        <x:v>70</x:v>
      </x:c>
      <x:c r="J119" s="31" t="n">
        <x:v>45631</x:v>
      </x:c>
      <x:c r="K119" s="33" t="n">
        <x:v>186.4833</x:v>
      </x:c>
      <x:c r="L119" s="47" t="str">
        <x:v>timeout</x:v>
      </x:c>
      <x:c r="M119" s="39" t="n">
        <x:f>(K119-F119)*G119</x:f>
        <x:v>63.69760000000002</x:v>
      </x:c>
      <x:c r="N119" s="41" t="n">
        <x:f>K119/F119-1</x:f>
        <x:v>0.20596180024509425</x:v>
      </x:c>
      <x:c r="O119" s="43" t="n">
        <x:v>1071912558.55</x:v>
      </x:c>
    </x:row>
    <x:row r="120">
      <x:c r="A120" s="45" t="n">
        <x:v>119</x:v>
      </x:c>
      <x:c r="B120" s="26" t="str">
        <x:v>CBOE</x:v>
      </x:c>
      <x:c r="C120" s="26" t="str">
        <x:v>Unknown</x:v>
      </x:c>
      <x:c r="D120" s="31" t="n">
        <x:v>45622</x:v>
      </x:c>
      <x:c r="E120" s="31" t="n">
        <x:v>45623</x:v>
      </x:c>
      <x:c r="F120" s="33" t="n">
        <x:v>218.258</x:v>
      </x:c>
      <x:c r="G120" s="35" t="n">
        <x:v>16</x:v>
      </x:c>
      <x:c r="H120" s="33" t="n">
        <x:v>200.7974</x:v>
      </x:c>
      <x:c r="I120" s="37" t="n">
        <x:v>30</x:v>
      </x:c>
      <x:c r="J120" s="31" t="n">
        <x:v>45635</x:v>
      </x:c>
      <x:c r="K120" s="33" t="n">
        <x:v>200.5966</x:v>
      </x:c>
      <x:c r="L120" s="47" t="str">
        <x:v>stop</x:v>
      </x:c>
      <x:c r="M120" s="39" t="n">
        <x:f>(K120-F120)*G120</x:f>
        <x:v>-282.58240000000023</x:v>
      </x:c>
      <x:c r="N120" s="41" t="n">
        <x:f>K120/F120-1</x:f>
        <x:v>-0.08091982882643478</x:v>
      </x:c>
      <x:c r="O120" s="43" t="n">
        <x:v>259627491.4</x:v>
      </x:c>
    </x:row>
    <x:row r="121">
      <x:c r="A121" s="45" t="n">
        <x:v>120</x:v>
      </x:c>
      <x:c r="B121" s="26" t="str">
        <x:v>ALLE</x:v>
      </x:c>
      <x:c r="C121" s="26" t="str">
        <x:v>Unknown</x:v>
      </x:c>
      <x:c r="D121" s="31" t="n">
        <x:v>45548</x:v>
      </x:c>
      <x:c r="E121" s="31" t="n">
        <x:v>45551</x:v>
      </x:c>
      <x:c r="F121" s="33" t="n">
        <x:v>139.8597</x:v>
      </x:c>
      <x:c r="G121" s="35" t="n">
        <x:v>3</x:v>
      </x:c>
      <x:c r="H121" s="33" t="n">
        <x:v>128.6709</x:v>
      </x:c>
      <x:c r="I121" s="37" t="n">
        <x:v>30</x:v>
      </x:c>
      <x:c r="J121" s="31" t="n">
        <x:v>45636</x:v>
      </x:c>
      <x:c r="K121" s="33" t="n">
        <x:v>139.1307</x:v>
      </x:c>
      <x:c r="L121" s="47" t="str">
        <x:v>timeout</x:v>
      </x:c>
      <x:c r="M121" s="39" t="n">
        <x:f>(K121-F121)*G121</x:f>
        <x:v>-2.1870000000000402</x:v>
      </x:c>
      <x:c r="N121" s="41" t="n">
        <x:f>K121/F121-1</x:f>
        <x:v>-0.005212366392892354</x:v>
      </x:c>
      <x:c r="O121" s="43" t="n">
        <x:v>71157156.4</x:v>
      </x:c>
    </x:row>
    <x:row r="122">
      <x:c r="A122" s="45" t="n">
        <x:v>121</x:v>
      </x:c>
      <x:c r="B122" s="26" t="str">
        <x:v>NTAP</x:v>
      </x:c>
      <x:c r="C122" s="26" t="str">
        <x:v>Unknown</x:v>
      </x:c>
      <x:c r="D122" s="31" t="n">
        <x:v>45632</x:v>
      </x:c>
      <x:c r="E122" s="31" t="n">
        <x:v>45635</x:v>
      </x:c>
      <x:c r="F122" s="33" t="n">
        <x:v>127.8777</x:v>
      </x:c>
      <x:c r="G122" s="35" t="n">
        <x:v>41</x:v>
      </x:c>
      <x:c r="H122" s="33" t="n">
        <x:v>117.6475</x:v>
      </x:c>
      <x:c r="I122" s="37" t="n">
        <x:v>43.3</x:v>
      </x:c>
      <x:c r="J122" s="31" t="n">
        <x:v>45644</x:v>
      </x:c>
      <x:c r="K122" s="33" t="n">
        <x:v>117.5299</x:v>
      </x:c>
      <x:c r="L122" s="47" t="str">
        <x:v>stop</x:v>
      </x:c>
      <x:c r="M122" s="39" t="n">
        <x:f>(K122-F122)*G122</x:f>
        <x:v>-424.25980000000027</x:v>
      </x:c>
      <x:c r="N122" s="41" t="n">
        <x:f>K122/F122-1</x:f>
        <x:v>-0.08091950355691424</x:v>
      </x:c>
      <x:c r="O122" s="43" t="n">
        <x:v>275572062.45</x:v>
      </x:c>
    </x:row>
    <x:row r="123">
      <x:c r="A123" s="45" t="n">
        <x:v>122</x:v>
      </x:c>
      <x:c r="B123" s="26" t="str">
        <x:v>IVZ</x:v>
      </x:c>
      <x:c r="C123" s="26" t="str">
        <x:v>Unknown</x:v>
      </x:c>
      <x:c r="D123" s="31" t="n">
        <x:v>45559</x:v>
      </x:c>
      <x:c r="E123" s="31" t="n">
        <x:v>45560</x:v>
      </x:c>
      <x:c r="F123" s="33" t="n">
        <x:v>16.4664</x:v>
      </x:c>
      <x:c r="G123" s="35" t="n">
        <x:v>267</x:v>
      </x:c>
      <x:c r="H123" s="33" t="n">
        <x:v>15.1491</x:v>
      </x:c>
      <x:c r="I123" s="37" t="n">
        <x:v>36.2</x:v>
      </x:c>
      <x:c r="J123" s="31" t="n">
        <x:v>45645</x:v>
      </x:c>
      <x:c r="K123" s="33" t="n">
        <x:v>16.2338</x:v>
      </x:c>
      <x:c r="L123" s="47" t="str">
        <x:v>timeout</x:v>
      </x:c>
      <x:c r="M123" s="39" t="n">
        <x:f>(K123-F123)*G123</x:f>
        <x:v>-62.10420000000039</x:v>
      </x:c>
      <x:c r="N123" s="41" t="n">
        <x:f>K123/F123-1</x:f>
        <x:v>-0.01412573482971391</x:v>
      </x:c>
      <x:c r="O123" s="43" t="n">
        <x:v>51410612.9</x:v>
      </x:c>
    </x:row>
    <x:row r="124">
      <x:c r="A124" s="45" t="n">
        <x:v>123</x:v>
      </x:c>
      <x:c r="B124" s="26" t="str">
        <x:v>STT</x:v>
      </x:c>
      <x:c r="C124" s="26" t="str">
        <x:v>Unknown</x:v>
      </x:c>
      <x:c r="D124" s="31" t="n">
        <x:v>45574</x:v>
      </x:c>
      <x:c r="E124" s="31" t="n">
        <x:v>45575</x:v>
      </x:c>
      <x:c r="F124" s="33" t="n">
        <x:v>85.6856</x:v>
      </x:c>
      <x:c r="G124" s="35" t="n">
        <x:v>45</x:v>
      </x:c>
      <x:c r="H124" s="33" t="n">
        <x:v>78.8308</x:v>
      </x:c>
      <x:c r="I124" s="37" t="n">
        <x:v>32.5</x:v>
      </x:c>
      <x:c r="J124" s="31" t="n">
        <x:v>45664</x:v>
      </x:c>
      <x:c r="K124" s="33" t="n">
        <x:v>96.1538</x:v>
      </x:c>
      <x:c r="L124" s="47" t="str">
        <x:v>timeout</x:v>
      </x:c>
      <x:c r="M124" s="39" t="n">
        <x:f>(K124-F124)*G124</x:f>
        <x:v>471.06900000000047</x:v>
      </x:c>
      <x:c r="N124" s="41" t="n">
        <x:f>K124/F124-1</x:f>
        <x:v>0.12216988618857783</x:v>
      </x:c>
      <x:c r="O124" s="43" t="n">
        <x:v>190254779.7</x:v>
      </x:c>
    </x:row>
    <x:row r="125">
      <x:c r="A125" s="45" t="n">
        <x:v>124</x:v>
      </x:c>
      <x:c r="B125" s="26" t="str">
        <x:v>GDDY</x:v>
      </x:c>
      <x:c r="C125" s="26" t="str">
        <x:v>Unknown</x:v>
      </x:c>
      <x:c r="D125" s="31" t="n">
        <x:v>45596</x:v>
      </x:c>
      <x:c r="E125" s="31" t="n">
        <x:v>45597</x:v>
      </x:c>
      <x:c r="F125" s="33" t="n">
        <x:v>167.9578</x:v>
      </x:c>
      <x:c r="G125" s="35" t="n">
        <x:v>33</x:v>
      </x:c>
      <x:c r="H125" s="33" t="n">
        <x:v>154.5212</x:v>
      </x:c>
      <x:c r="I125" s="37" t="n">
        <x:v>85</x:v>
      </x:c>
      <x:c r="J125" s="31" t="n">
        <x:v>45688</x:v>
      </x:c>
      <x:c r="K125" s="33" t="n">
        <x:v>214.2256</x:v>
      </x:c>
      <x:c r="L125" s="47" t="str">
        <x:v>timeout</x:v>
      </x:c>
      <x:c r="M125" s="39" t="n">
        <x:f>(K125-F125)*G125</x:f>
        <x:v>1526.8374</x:v>
      </x:c>
      <x:c r="N125" s="41" t="n">
        <x:f>K125/F125-1</x:f>
        <x:v>0.27547276756423345</x:v>
      </x:c>
      <x:c r="O125" s="43" t="n">
        <x:v>153970689.6</x:v>
      </x:c>
    </x:row>
    <x:row r="126">
      <x:c r="A126" s="45" t="n">
        <x:v>125</x:v>
      </x:c>
      <x:c r="B126" s="26" t="str">
        <x:v>CRH</x:v>
      </x:c>
      <x:c r="C126" s="26" t="str">
        <x:v>Unknown</x:v>
      </x:c>
      <x:c r="D126" s="31" t="n">
        <x:v>45701</x:v>
      </x:c>
      <x:c r="E126" s="31" t="n">
        <x:v>45702</x:v>
      </x:c>
      <x:c r="F126" s="33" t="n">
        <x:v>107.157</x:v>
      </x:c>
      <x:c r="G126" s="35" t="n">
        <x:v>80</x:v>
      </x:c>
      <x:c r="H126" s="33" t="n">
        <x:v>98.5845</x:v>
      </x:c>
      <x:c r="I126" s="37" t="n">
        <x:v>70</x:v>
      </x:c>
      <x:c r="J126" s="31" t="n">
        <x:v>45712</x:v>
      </x:c>
      <x:c r="K126" s="33" t="n">
        <x:v>98.4859</x:v>
      </x:c>
      <x:c r="L126" s="47" t="str">
        <x:v>stop</x:v>
      </x:c>
      <x:c r="M126" s="39" t="n">
        <x:f>(K126-F126)*G126</x:f>
        <x:v>-693.6879999999996</x:v>
      </x:c>
      <x:c r="N126" s="41" t="n">
        <x:f>K126/F126-1</x:f>
        <x:v>-0.08091958528140952</x:v>
      </x:c>
      <x:c r="O126" s="43" t="n">
        <x:v>406089475.65</x:v>
      </x:c>
    </x:row>
    <x:row r="127">
      <x:c r="A127" s="45" t="n">
        <x:v>126</x:v>
      </x:c>
      <x:c r="B127" s="26" t="str">
        <x:v>MS</x:v>
      </x:c>
      <x:c r="C127" s="26" t="str">
        <x:v>Unknown</x:v>
      </x:c>
      <x:c r="D127" s="31" t="n">
        <x:v>45674</x:v>
      </x:c>
      <x:c r="E127" s="31" t="n">
        <x:v>45678</x:v>
      </x:c>
      <x:c r="F127" s="33" t="n">
        <x:v>132.132</x:v>
      </x:c>
      <x:c r="G127" s="35" t="n">
        <x:v>73</x:v>
      </x:c>
      <x:c r="H127" s="33" t="n">
        <x:v>121.5614</x:v>
      </x:c>
      <x:c r="I127" s="37" t="n">
        <x:v>80</x:v>
      </x:c>
      <x:c r="J127" s="31" t="n">
        <x:v>45720</x:v>
      </x:c>
      <x:c r="K127" s="33" t="n">
        <x:v>121.4398</x:v>
      </x:c>
      <x:c r="L127" s="47" t="str">
        <x:v>stop</x:v>
      </x:c>
      <x:c r="M127" s="39" t="n">
        <x:f>(K127-F127)*G127</x:f>
        <x:v>-780.5305999999999</x:v>
      </x:c>
      <x:c r="N127" s="41" t="n">
        <x:f>K127/F127-1</x:f>
        <x:v>-0.08092059455695821</x:v>
      </x:c>
      <x:c r="O127" s="43" t="n">
        <x:v>870929166.45</x:v>
      </x:c>
    </x:row>
    <x:row r="128">
      <x:c r="A128" s="45" t="n">
        <x:v>127</x:v>
      </x:c>
      <x:c r="B128" s="26" t="str">
        <x:v>RL</x:v>
      </x:c>
      <x:c r="C128" s="26" t="str">
        <x:v>Unknown</x:v>
      </x:c>
      <x:c r="D128" s="31" t="n">
        <x:v>45678</x:v>
      </x:c>
      <x:c r="E128" s="31" t="n">
        <x:v>45679</x:v>
      </x:c>
      <x:c r="F128" s="33" t="n">
        <x:v>244.7645</x:v>
      </x:c>
      <x:c r="G128" s="35" t="n">
        <x:v>17</x:v>
      </x:c>
      <x:c r="H128" s="33" t="n">
        <x:v>225.1834</x:v>
      </x:c>
      <x:c r="I128" s="37" t="n">
        <x:v>35</x:v>
      </x:c>
      <x:c r="J128" s="31" t="n">
        <x:v>45723</x:v>
      </x:c>
      <x:c r="K128" s="33" t="n">
        <x:v>224.9582</x:v>
      </x:c>
      <x:c r="L128" s="47" t="str">
        <x:v>stop</x:v>
      </x:c>
      <x:c r="M128" s="39" t="n">
        <x:f>(K128-F128)*G128</x:f>
        <x:v>-336.70709999999985</x:v>
      </x:c>
      <x:c r="N128" s="41" t="n">
        <x:f>K128/F128-1</x:f>
        <x:v>-0.08091982293183853</x:v>
      </x:c>
      <x:c r="O128" s="43" t="n">
        <x:v>156401246.2</x:v>
      </x:c>
    </x:row>
    <x:row r="129">
      <x:c r="A129" s="45" t="n">
        <x:v>128</x:v>
      </x:c>
      <x:c r="B129" s="26" t="str">
        <x:v>DE</x:v>
      </x:c>
      <x:c r="C129" s="26" t="str">
        <x:v>Unknown</x:v>
      </x:c>
      <x:c r="D129" s="31" t="n">
        <x:v>45723</x:v>
      </x:c>
      <x:c r="E129" s="31" t="n">
        <x:v>45726</x:v>
      </x:c>
      <x:c r="F129" s="33" t="n">
        <x:v>491.3909</x:v>
      </x:c>
      <x:c r="G129" s="35" t="n">
        <x:v>13</x:v>
      </x:c>
      <x:c r="H129" s="33" t="n">
        <x:v>452.0796</x:v>
      </x:c>
      <x:c r="I129" s="37" t="n">
        <x:v>56</x:v>
      </x:c>
      <x:c r="J129" s="31" t="n">
        <x:v>45750</x:v>
      </x:c>
      <x:c r="K129" s="33" t="n">
        <x:v>451.508</x:v>
      </x:c>
      <x:c r="L129" s="47" t="str">
        <x:v>stop</x:v>
      </x:c>
      <x:c r="M129" s="39" t="n">
        <x:f>(K129-F129)*G129</x:f>
        <x:v>-518.4777000000001</x:v>
      </x:c>
      <x:c r="N129" s="41" t="n">
        <x:f>K129/F129-1</x:f>
        <x:v>-0.08116328568559172</x:v>
      </x:c>
      <x:c r="O129" s="43" t="n">
        <x:v>821362955.15</x:v>
      </x:c>
    </x:row>
    <x:row r="130">
      <x:c r="A130" s="45" t="n">
        <x:v>129</x:v>
      </x:c>
      <x:c r="B130" s="26" t="str">
        <x:v>MMM</x:v>
      </x:c>
      <x:c r="C130" s="26" t="str">
        <x:v>Unknown</x:v>
      </x:c>
      <x:c r="D130" s="31" t="n">
        <x:v>45733</x:v>
      </x:c>
      <x:c r="E130" s="31" t="n">
        <x:v>45734</x:v>
      </x:c>
      <x:c r="F130" s="33" t="n">
        <x:v>149.9598</x:v>
      </x:c>
      <x:c r="G130" s="35" t="n">
        <x:v>65</x:v>
      </x:c>
      <x:c r="H130" s="33" t="n">
        <x:v>137.963</x:v>
      </x:c>
      <x:c r="I130" s="37" t="n">
        <x:v>88</x:v>
      </x:c>
      <x:c r="J130" s="31" t="n">
        <x:v>45750</x:v>
      </x:c>
      <x:c r="K130" s="33" t="n">
        <x:v>137.825</x:v>
      </x:c>
      <x:c r="L130" s="47" t="str">
        <x:v>stop</x:v>
      </x:c>
      <x:c r="M130" s="39" t="n">
        <x:f>(K130-F130)*G130</x:f>
        <x:v>-788.7620000000009</x:v>
      </x:c>
      <x:c r="N130" s="41" t="n">
        <x:f>K130/F130-1</x:f>
        <x:v>-0.08092035332135683</x:v>
      </x:c>
      <x:c r="O130" s="43" t="n">
        <x:v>691026562.45</x:v>
      </x:c>
    </x:row>
    <x:row r="131">
      <x:c r="A131" s="45" t="n">
        <x:v>130</x:v>
      </x:c>
      <x:c r="B131" s="26" t="str">
        <x:v>EBAY</x:v>
      </x:c>
      <x:c r="C131" s="26" t="str">
        <x:v>Unknown</x:v>
      </x:c>
      <x:c r="D131" s="31" t="n">
        <x:v>45684</x:v>
      </x:c>
      <x:c r="E131" s="31" t="n">
        <x:v>45685</x:v>
      </x:c>
      <x:c r="F131" s="33" t="n">
        <x:v>65.5755</x:v>
      </x:c>
      <x:c r="G131" s="35" t="n">
        <x:v>55</x:v>
      </x:c>
      <x:c r="H131" s="33" t="n">
        <x:v>60.3295</x:v>
      </x:c>
      <x:c r="I131" s="37" t="n">
        <x:v>30</x:v>
      </x:c>
      <x:c r="J131" s="31" t="n">
        <x:v>45754</x:v>
      </x:c>
      <x:c r="K131" s="33" t="n">
        <x:v>60.2692</x:v>
      </x:c>
      <x:c r="L131" s="47" t="str">
        <x:v>stop</x:v>
      </x:c>
      <x:c r="M131" s="39" t="n">
        <x:f>(K131-F131)*G131</x:f>
        <x:v>-291.8465000000004</x:v>
      </x:c>
      <x:c r="N131" s="41" t="n">
        <x:f>K131/F131-1</x:f>
        <x:v>-0.08091894076293749</x:v>
      </x:c>
      <x:c r="O131" s="43" t="n">
        <x:v>310139279.15</x:v>
      </x:c>
    </x:row>
    <x:row r="132">
      <x:c r="A132" s="45" t="n">
        <x:v>131</x:v>
      </x:c>
      <x:c r="B132" s="26" t="str">
        <x:v>DTE</x:v>
      </x:c>
      <x:c r="C132" s="26" t="str">
        <x:v>Unknown</x:v>
      </x:c>
      <x:c r="D132" s="31" t="n">
        <x:v>45771</x:v>
      </x:c>
      <x:c r="E132" s="31" t="n">
        <x:v>45772</x:v>
      </x:c>
      <x:c r="F132" s="33" t="n">
        <x:v>133.4033</x:v>
      </x:c>
      <x:c r="G132" s="35" t="n">
        <x:v>64</x:v>
      </x:c>
      <x:c r="H132" s="33" t="n">
        <x:v>122.731</x:v>
      </x:c>
      <x:c r="I132" s="37" t="n">
        <x:v>73.3</x:v>
      </x:c>
      <x:c r="J132" s="31" t="n">
        <x:v>45861</x:v>
      </x:c>
      <x:c r="K132" s="33" t="n">
        <x:v>137.1227</x:v>
      </x:c>
      <x:c r="L132" s="47" t="str">
        <x:v>timeout</x:v>
      </x:c>
      <x:c r="M132" s="39" t="n">
        <x:f>(K132-F132)*G132</x:f>
        <x:v>238.04160000000047</x:v>
      </x:c>
      <x:c r="N132" s="41" t="n">
        <x:f>K132/F132-1</x:f>
        <x:v>0.027880869513722706</x:v>
      </x:c>
      <x:c r="O132" s="43" t="n">
        <x:v>216123661.9</x:v>
      </x:c>
    </x:row>
    <x:row r="133">
      <x:c r="A133" s="45" t="n">
        <x:v>132</x:v>
      </x:c>
      <x:c r="B133" s="26" t="str">
        <x:v>SBAC</x:v>
      </x:c>
      <x:c r="C133" s="26" t="str">
        <x:v>Unknown</x:v>
      </x:c>
      <x:c r="D133" s="31" t="n">
        <x:v>45776</x:v>
      </x:c>
      <x:c r="E133" s="31" t="n">
        <x:v>45777</x:v>
      </x:c>
      <x:c r="F133" s="33" t="n">
        <x:v>233.3731</x:v>
      </x:c>
      <x:c r="G133" s="35" t="n">
        <x:v>17</x:v>
      </x:c>
      <x:c r="H133" s="33" t="n">
        <x:v>214.7033</x:v>
      </x:c>
      <x:c r="I133" s="37" t="n">
        <x:v>35</x:v>
      </x:c>
      <x:c r="J133" s="31" t="n">
        <x:v>45866</x:v>
      </x:c>
      <x:c r="K133" s="33" t="n">
        <x:v>229.5602</x:v>
      </x:c>
      <x:c r="L133" s="47" t="str">
        <x:v>timeout</x:v>
      </x:c>
      <x:c r="M133" s="39" t="n">
        <x:f>(K133-F133)*G133</x:f>
        <x:v>-64.81929999999974</x:v>
      </x:c>
      <x:c r="N133" s="41" t="n">
        <x:f>K133/F133-1</x:f>
        <x:v>-0.016338215501272346</x:v>
      </x:c>
      <x:c r="O133" s="43" t="n">
        <x:v>287287157.3</x:v>
      </x:c>
    </x:row>
    <x:row r="134">
      <x:c r="A134" s="45" t="n">
        <x:v>133</x:v>
      </x:c>
      <x:c r="B134" s="26" t="str">
        <x:v>GILD</x:v>
      </x:c>
      <x:c r="C134" s="26" t="str">
        <x:v>Unknown</x:v>
      </x:c>
      <x:c r="D134" s="31" t="n">
        <x:v>45797</x:v>
      </x:c>
      <x:c r="E134" s="31" t="n">
        <x:v>45798</x:v>
      </x:c>
      <x:c r="F134" s="33" t="n">
        <x:v>106.0159</x:v>
      </x:c>
      <x:c r="G134" s="35" t="n">
        <x:v>91</x:v>
      </x:c>
      <x:c r="H134" s="33" t="n">
        <x:v>97.5346</x:v>
      </x:c>
      <x:c r="I134" s="37" t="n">
        <x:v>85</x:v>
      </x:c>
      <x:c r="J134" s="31" t="n">
        <x:v>45887</x:v>
      </x:c>
      <x:c r="K134" s="33" t="n">
        <x:v>116.6033</x:v>
      </x:c>
      <x:c r="L134" s="47" t="str">
        <x:v>timeout</x:v>
      </x:c>
      <x:c r="M134" s="39" t="n">
        <x:f>(K134-F134)*G134</x:f>
        <x:v>963.4534000000002</x:v>
      </x:c>
      <x:c r="N134" s="41" t="n">
        <x:f>K134/F134-1</x:f>
        <x:v>0.09986615215264871</x:v>
      </x:c>
      <x:c r="O134" s="43" t="n">
        <x:v>962277676.2</x:v>
      </x:c>
    </x:row>
    <x:row r="135">
      <x:c r="A135" s="45" t="n">
        <x:v>134</x:v>
      </x:c>
      <x:c r="B135" s="26" t="str">
        <x:v>WM</x:v>
      </x:c>
      <x:c r="C135" s="26" t="str">
        <x:v>Unknown</x:v>
      </x:c>
      <x:c r="D135" s="31" t="n">
        <x:v>45804</x:v>
      </x:c>
      <x:c r="E135" s="31" t="n">
        <x:v>45805</x:v>
      </x:c>
      <x:c r="F135" s="33" t="n">
        <x:v>235.5053</x:v>
      </x:c>
      <x:c r="G135" s="35" t="n">
        <x:v>17</x:v>
      </x:c>
      <x:c r="H135" s="33" t="n">
        <x:v>217.93</x:v>
      </x:c>
      <x:c r="I135" s="37" t="n">
        <x:v>35</x:v>
      </x:c>
      <x:c r="J135" s="31" t="n">
        <x:v>45891</x:v>
      </x:c>
      <x:c r="K135" s="33" t="n">
        <x:v>227.7021</x:v>
      </x:c>
      <x:c r="L135" s="47" t="str">
        <x:v>timeout</x:v>
      </x:c>
      <x:c r="M135" s="39" t="n">
        <x:f>(K135-F135)*G135</x:f>
        <x:v>-132.65440000000007</x:v>
      </x:c>
      <x:c r="N135" s="41" t="n">
        <x:f>K135/F135-1</x:f>
        <x:v>-0.033133861530929454</x:v>
      </x:c>
      <x:c r="O135" s="43" t="n">
        <x:v>406657897.2</x:v>
      </x:c>
    </x:row>
    <x:row r="136">
      <x:c r="A136" s="45" t="n">
        <x:v>135</x:v>
      </x:c>
      <x:c r="B136" s="26" t="str">
        <x:v>KLAC</x:v>
      </x:c>
      <x:c r="C136" s="26" t="str">
        <x:v>Unknown</x:v>
      </x:c>
      <x:c r="D136" s="31" t="n">
        <x:v>45817</x:v>
      </x:c>
      <x:c r="E136" s="31" t="n">
        <x:v>45818</x:v>
      </x:c>
      <x:c r="F136" s="33" t="n">
        <x:v>826.9261</x:v>
      </x:c>
      <x:c r="G136" s="35" t="n">
        <x:v>3</x:v>
      </x:c>
      <x:c r="H136" s="33" t="n">
        <x:v>760.772</x:v>
      </x:c>
      <x:c r="I136" s="37" t="n">
        <x:v>54</x:v>
      </x:c>
      <x:c r="J136" s="31" t="n">
        <x:v>45905</x:v>
      </x:c>
      <x:c r="K136" s="33" t="n">
        <x:v>877.2818</x:v>
      </x:c>
      <x:c r="L136" s="47" t="str">
        <x:v>timeout</x:v>
      </x:c>
      <x:c r="M136" s="39" t="n">
        <x:f>(K136-F136)*G136</x:f>
        <x:v>151.06709999999987</x:v>
      </x:c>
      <x:c r="N136" s="41" t="n">
        <x:f>K136/F136-1</x:f>
        <x:v>0.06089504249533295</x:v>
      </x:c>
      <x:c r="O136" s="43" t="n">
        <x:v>935124571.45</x:v>
      </x:c>
    </x:row>
    <x:row r="137">
      <x:c r="A137" s="45" t="n">
        <x:v>136</x:v>
      </x:c>
      <x:c r="B137" s="26" t="str">
        <x:v>GEHC</x:v>
      </x:c>
      <x:c r="C137" s="26" t="str">
        <x:v>Unknown</x:v>
      </x:c>
      <x:c r="D137" s="31" t="n">
        <x:v>45958</x:v>
      </x:c>
      <x:c r="E137" s="31" t="n">
        <x:v>45959</x:v>
      </x:c>
      <x:c r="F137" s="33" t="n">
        <x:v>76.7867</x:v>
      </x:c>
      <x:c r="G137" s="35" t="n">
        <x:v>46</x:v>
      </x:c>
      <x:c r="H137" s="33" t="n">
        <x:v>70.6438</x:v>
      </x:c>
      <x:c r="I137" s="37" t="n">
        <x:v>30</x:v>
      </x:c>
      <x:c r="J137" s="31" t="n">
        <x:v>45978</x:v>
      </x:c>
      <x:c r="K137" s="33" t="n">
        <x:v>70.5732</x:v>
      </x:c>
      <x:c r="L137" s="47" t="str">
        <x:v>stop</x:v>
      </x:c>
      <x:c r="M137" s="39" t="n">
        <x:f>(K137-F137)*G137</x:f>
        <x:v>-285.8209999999998</x:v>
      </x:c>
      <x:c r="N137" s="41" t="n">
        <x:f>K137/F137-1</x:f>
        <x:v>-0.08091896122635811</x:v>
      </x:c>
      <x:c r="O137" s="43" t="n">
        <x:v>219440114.15</x:v>
      </x:c>
    </x:row>
    <x:row r="138">
      <x:c r="A138" s="45" t="n">
        <x:v>137</x:v>
      </x:c>
      <x:c r="B138" s="26" t="str">
        <x:v>TECH</x:v>
      </x:c>
      <x:c r="C138" s="26" t="str">
        <x:v>Unknown</x:v>
      </x:c>
      <x:c r="D138" s="31" t="n">
        <x:v>46036</x:v>
      </x:c>
      <x:c r="E138" s="31" t="n">
        <x:v>46037</x:v>
      </x:c>
      <x:c r="F138" s="33" t="n">
        <x:v>68.4484</x:v>
      </x:c>
      <x:c r="G138" s="35" t="n">
        <x:v>52</x:v>
      </x:c>
      <x:c r="H138" s="33" t="n">
        <x:v>62.9725</x:v>
      </x:c>
      <x:c r="I138" s="37" t="n">
        <x:v>30</x:v>
      </x:c>
      <x:c r="J138" s="31" t="n">
        <x:v>46051</x:v>
      </x:c>
      <x:c r="K138" s="33" t="n">
        <x:v>62.9095</x:v>
      </x:c>
      <x:c r="L138" s="47" t="str">
        <x:v>stop</x:v>
      </x:c>
      <x:c r="M138" s="39" t="n">
        <x:f>(K138-F138)*G138</x:f>
        <x:v>-288.0228000000003</x:v>
      </x:c>
      <x:c r="N138" s="41" t="n">
        <x:f>K138/F138-1</x:f>
        <x:v>-0.08092081042069654</x:v>
      </x:c>
      <x:c r="O138" s="43" t="n">
        <x:v>109147827.65</x:v>
      </x:c>
    </x:row>
    <x:row r="139">
      <x:c r="A139" s="45" t="n">
        <x:v>138</x:v>
      </x:c>
      <x:c r="B139" s="26" t="str">
        <x:v>C</x:v>
      </x:c>
      <x:c r="C139" s="26" t="str">
        <x:v>Unknown</x:v>
      </x:c>
      <x:c r="D139" s="31" t="n">
        <x:v>45973</x:v>
      </x:c>
      <x:c r="E139" s="31" t="n">
        <x:v>45974</x:v>
      </x:c>
      <x:c r="F139" s="33" t="n">
        <x:v>102.0219</x:v>
      </x:c>
      <x:c r="G139" s="35" t="n">
        <x:v>93</x:v>
      </x:c>
      <x:c r="H139" s="33" t="n">
        <x:v>93.95</x:v>
      </x:c>
      <x:c r="I139" s="37" t="n">
        <x:v>80</x:v>
      </x:c>
      <x:c r="J139" s="31" t="n">
        <x:v>46064</x:v>
      </x:c>
      <x:c r="K139" s="33" t="n">
        <x:v>123.4664</x:v>
      </x:c>
      <x:c r="L139" s="47" t="str">
        <x:v>timeout</x:v>
      </x:c>
      <x:c r="M139" s="39" t="n">
        <x:f>(K139-F139)*G139</x:f>
        <x:v>1994.3384999999992</x:v>
      </x:c>
      <x:c r="N139" s="41" t="n">
        <x:f>K139/F139-1</x:f>
        <x:v>0.21019506596132786</x:v>
      </x:c>
      <x:c r="O139" s="43" t="n">
        <x:v>1178488160.35</x:v>
      </x:c>
    </x:row>
    <x:row r="140">
      <x:c r="A140" s="45" t="n">
        <x:v>139</x:v>
      </x:c>
      <x:c r="B140" s="26" t="str">
        <x:v>AKAM</x:v>
      </x:c>
      <x:c r="C140" s="26" t="str">
        <x:v>Unknown</x:v>
      </x:c>
      <x:c r="D140" s="31" t="n">
        <x:v>46065</x:v>
      </x:c>
      <x:c r="E140" s="31" t="n">
        <x:v>46066</x:v>
      </x:c>
      <x:c r="F140" s="33" t="n">
        <x:v>104.5945</x:v>
      </x:c>
      <x:c r="G140" s="35" t="n">
        <x:v>61</x:v>
      </x:c>
      <x:c r="H140" s="33" t="n">
        <x:v>96.2269</x:v>
      </x:c>
      <x:c r="I140" s="37" t="n">
        <x:v>52.9</x:v>
      </x:c>
      <x:c r="J140" s="31" t="n">
        <x:v>46073</x:v>
      </x:c>
      <x:c r="K140" s="33" t="n">
        <x:v>96.1307</x:v>
      </x:c>
      <x:c r="L140" s="47" t="str">
        <x:v>stop</x:v>
      </x:c>
      <x:c r="M140" s="39" t="n">
        <x:f>(K140-F140)*G140</x:f>
        <x:v>-516.2917999999995</x:v>
      </x:c>
      <x:c r="N140" s="41" t="n">
        <x:f>K140/F140-1</x:f>
        <x:v>-0.08092012486316191</x:v>
      </x:c>
      <x:c r="O140" s="43" t="n">
        <x:v>390625932.2</x:v>
      </x:c>
    </x:row>
    <x:row r="141">
      <x:c r="A141" s="45" t="n">
        <x:v>140</x:v>
      </x:c>
      <x:c r="B141" s="26" t="str">
        <x:v>FCX</x:v>
      </x:c>
      <x:c r="C141" s="26" t="str">
        <x:v>Unknown</x:v>
      </x:c>
      <x:c r="D141" s="31" t="n">
        <x:v>46077</x:v>
      </x:c>
      <x:c r="E141" s="31" t="n">
        <x:v>46078</x:v>
      </x:c>
      <x:c r="F141" s="33" t="n">
        <x:v>68.9172</x:v>
      </x:c>
      <x:c r="G141" s="35" t="n">
        <x:v>52</x:v>
      </x:c>
      <x:c r="H141" s="33" t="n">
        <x:v>63.4039</x:v>
      </x:c>
      <x:c r="I141" s="37" t="n">
        <x:v>30</x:v>
      </x:c>
      <x:c r="J141" s="31" t="n">
        <x:v>46084</x:v>
      </x:c>
      <x:c r="K141" s="33" t="n">
        <x:v>63.3405</x:v>
      </x:c>
      <x:c r="L141" s="47" t="str">
        <x:v>stop</x:v>
      </x:c>
      <x:c r="M141" s="39" t="n">
        <x:f>(K141-F141)*G141</x:f>
        <x:v>-289.98839999999973</x:v>
      </x:c>
      <x:c r="N141" s="41" t="n">
        <x:f>K141/F141-1</x:f>
        <x:v>-0.08091884174052333</x:v>
      </x:c>
      <x:c r="O141" s="43" t="n">
        <x:v>1358858542.26</x:v>
      </x:c>
    </x:row>
    <x:row r="142">
      <x:c r="A142" s="45" t="n">
        <x:v>141</x:v>
      </x:c>
      <x:c r="B142" s="26" t="str">
        <x:v>NEM</x:v>
      </x:c>
      <x:c r="C142" s="26" t="str">
        <x:v>Unknown</x:v>
      </x:c>
      <x:c r="D142" s="31" t="n">
        <x:v>46063</x:v>
      </x:c>
      <x:c r="E142" s="31" t="n">
        <x:v>46064</x:v>
      </x:c>
      <x:c r="F142" s="33" t="n">
        <x:v>125.125</x:v>
      </x:c>
      <x:c r="G142" s="35" t="n">
        <x:v>71</x:v>
      </x:c>
      <x:c r="H142" s="33" t="n">
        <x:v>115.115</x:v>
      </x:c>
      <x:c r="I142" s="37" t="n">
        <x:v>74.3</x:v>
      </x:c>
      <x:c r="J142" s="31" t="n">
        <x:v>46086</x:v>
      </x:c>
      <x:c r="K142" s="33" t="n">
        <x:v>114.9999</x:v>
      </x:c>
      <x:c r="L142" s="47" t="str">
        <x:v>stop</x:v>
      </x:c>
      <x:c r="M142" s="39" t="n">
        <x:f>(K142-F142)*G142</x:f>
        <x:v>-718.8821000000003</x:v>
      </x:c>
      <x:c r="N142" s="41" t="n">
        <x:f>K142/F142-1</x:f>
        <x:v>-0.08091988011988016</x:v>
      </x:c>
      <x:c r="O142" s="43" t="n">
        <x:v>1317404902.45</x:v>
      </x:c>
    </x:row>
    <x:row r="143">
      <x:c r="A143" s="45" t="n">
        <x:v>142</x:v>
      </x:c>
      <x:c r="B143" s="26" t="str">
        <x:v>VRTX</x:v>
      </x:c>
      <x:c r="C143" s="26" t="str">
        <x:v>Unknown</x:v>
      </x:c>
      <x:c r="D143" s="31" t="n">
        <x:v>46091</x:v>
      </x:c>
      <x:c r="E143" s="31" t="n">
        <x:v>46092</x:v>
      </x:c>
      <x:c r="F143" s="33" t="n">
        <x:v>498.3779</x:v>
      </x:c>
      <x:c r="G143" s="35" t="n">
        <x:v>11</x:v>
      </x:c>
      <x:c r="H143" s="33" t="n">
        <x:v>458.5076</x:v>
      </x:c>
      <x:c r="I143" s="37" t="n">
        <x:v>50</x:v>
      </x:c>
      <x:c r="J143" s="31" t="n">
        <x:v>46099</x:v>
      </x:c>
      <x:c r="K143" s="33" t="n">
        <x:v>458.0491</x:v>
      </x:c>
      <x:c r="L143" s="47" t="str">
        <x:v>stop</x:v>
      </x:c>
      <x:c r="M143" s="39" t="n">
        <x:f>(K143-F143)*G143</x:f>
        <x:v>-443.6168</x:v>
      </x:c>
      <x:c r="N143" s="41" t="n">
        <x:f>K143/F143-1</x:f>
        <x:v>-0.0809201210567323</x:v>
      </x:c>
      <x:c r="O143" s="43" t="n">
        <x:v>732613341.1</x:v>
      </x:c>
    </x:row>
    <x:row r="144">
      <x:c r="A144" s="45" t="n">
        <x:v>143</x:v>
      </x:c>
      <x:c r="B144" s="26" t="str">
        <x:v>FCX</x:v>
      </x:c>
      <x:c r="C144" s="26" t="str">
        <x:v>Unknown</x:v>
      </x:c>
      <x:c r="D144" s="31" t="n">
        <x:v>46129</x:v>
      </x:c>
      <x:c r="E144" s="31" t="n">
        <x:v>46132</x:v>
      </x:c>
      <x:c r="F144" s="33" t="n">
        <x:v>69.6095</x:v>
      </x:c>
      <x:c r="G144" s="35" t="n">
        <x:v>119</x:v>
      </x:c>
      <x:c r="H144" s="33" t="n">
        <x:v>64.0408</x:v>
      </x:c>
      <x:c r="I144" s="37" t="n">
        <x:v>70</x:v>
      </x:c>
      <x:c r="J144" s="31" t="n">
        <x:v>46135</x:v>
      </x:c>
      <x:c r="K144" s="33" t="n">
        <x:v>62.2077</x:v>
      </x:c>
      <x:c r="L144" s="47" t="str">
        <x:v>stop</x:v>
      </x:c>
      <x:c r="M144" s="39" t="n">
        <x:f>(K144-F144)*G144</x:f>
        <x:v>-880.8141999999993</x:v>
      </x:c>
      <x:c r="N144" s="41" t="n">
        <x:f>K144/F144-1</x:f>
        <x:v>-0.1063331872804717</x:v>
      </x:c>
      <x:c r="O144" s="43" t="n">
        <x:v>1006932174.71</x:v>
      </x:c>
    </x:row>
    <x:row r="145">
      <x:c r="A145" s="45" t="n">
        <x:v>144</x:v>
      </x:c>
      <x:c r="B145" s="26" t="str">
        <x:v>PFE</x:v>
      </x:c>
      <x:c r="C145" s="26" t="str">
        <x:v>Unknown</x:v>
      </x:c>
      <x:c r="D145" s="31" t="n">
        <x:v>46059</x:v>
      </x:c>
      <x:c r="E145" s="31" t="n">
        <x:v>46062</x:v>
      </x:c>
      <x:c r="F145" s="33" t="n">
        <x:v>27.2072</x:v>
      </x:c>
      <x:c r="G145" s="35" t="n">
        <x:v>296</x:v>
      </x:c>
      <x:c r="H145" s="33" t="n">
        <x:v>25.0306</x:v>
      </x:c>
      <x:c r="I145" s="37" t="n">
        <x:v>66.7</x:v>
      </x:c>
      <x:c r="J145" s="31" t="n">
        <x:v>46148</x:v>
      </x:c>
      <x:c r="K145" s="33" t="n">
        <x:v>26.1026</x:v>
      </x:c>
      <x:c r="L145" s="47" t="str">
        <x:v>timeout</x:v>
      </x:c>
      <x:c r="M145" s="39" t="n">
        <x:f>(K145-F145)*G145</x:f>
        <x:v>-326.96160000000043</x:v>
      </x:c>
      <x:c r="N145" s="41" t="n">
        <x:f>K145/F145-1</x:f>
        <x:v>-0.04059954717868808</x:v>
      </x:c>
      <x:c r="O145" s="43" t="n">
        <x:v>1431604001.65</x:v>
      </x:c>
    </x:row>
    <x:row r="146">
      <x:c r="A146" s="46" t="n">
        <x:v>145</x:v>
      </x:c>
      <x:c r="B146" s="29" t="str">
        <x:v>MPC</x:v>
      </x:c>
      <x:c r="C146" s="29" t="str">
        <x:v>Unknown</x:v>
      </x:c>
      <x:c r="D146" s="32" t="n">
        <x:v>46147</x:v>
      </x:c>
      <x:c r="E146" s="32" t="n">
        <x:v>46148</x:v>
      </x:c>
      <x:c r="F146" s="34" t="n">
        <x:v>252.29</x:v>
      </x:c>
      <x:c r="G146" s="36" t="n">
        <x:v>32</x:v>
      </x:c>
      <x:c r="H146" s="34" t="n">
        <x:v>232.1068</x:v>
      </x:c>
      <x:c r="I146" s="38" t="n">
        <x:v>70</x:v>
      </x:c>
      <x:c r="J146" s="32" t="n">
        <x:v>46212</x:v>
      </x:c>
      <x:c r="K146" s="34" t="n">
        <x:v>283.0716</x:v>
      </x:c>
      <x:c r="L146" s="48" t="str">
        <x:v>end_of_data</x:v>
      </x:c>
      <x:c r="M146" s="40" t="n">
        <x:f>(K146-F146)*G146</x:f>
        <x:v>985.0111999999999</x:v>
      </x:c>
      <x:c r="N146" s="42" t="n">
        <x:f>K146/F146-1</x:f>
        <x:v>0.12200879939751874</x:v>
      </x:c>
      <x:c r="O146" s="44" t="n">
        <x:v>497939305.26</x:v>
      </x:c>
    </x:row>
  </x:sheetData>
  <x:pageMargins left="0.7" right="0.7" top="0.75" bottom="0.75" header="0.3" footer="0.3"/>
</x:worksheet>
</file>